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9000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ookup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%&quot;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8"/>
    </font>
    <font>
      <name val="Calibri"/>
      <family val="2"/>
      <i val="1"/>
      <color rgb="FF93C5FD"/>
      <sz val="10"/>
    </font>
    <font>
      <name val="Calibri"/>
      <family val="2"/>
      <b val="1"/>
      <color rgb="FF1E3A5F"/>
      <sz val="10"/>
    </font>
    <font>
      <name val="Calibri"/>
      <family val="2"/>
      <color rgb="FF000000"/>
      <sz val="10"/>
    </font>
    <font>
      <name val="Calibri"/>
      <family val="2"/>
      <b val="1"/>
      <color rgb="FF3B82F6"/>
      <sz val="10"/>
    </font>
    <font>
      <name val="Calibri"/>
      <family val="2"/>
      <b val="1"/>
      <color rgb="FF475569"/>
      <sz val="9"/>
    </font>
    <font>
      <name val="Calibri"/>
      <family val="2"/>
      <b val="1"/>
      <color rgb="FF000000"/>
      <sz val="11"/>
    </font>
    <font>
      <name val="Calibri"/>
      <family val="2"/>
      <i val="1"/>
      <color rgb="FF475569"/>
      <sz val="9"/>
    </font>
    <font>
      <name val="Calibri"/>
      <family val="2"/>
      <color rgb="FF94A3B8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E3A5F"/>
      <sz val="11"/>
    </font>
    <font>
      <name val="Calibri"/>
      <family val="2"/>
      <b val="1"/>
      <color rgb="FF8B5CF6"/>
      <sz val="10"/>
    </font>
    <font>
      <name val="Calibri"/>
      <family val="2"/>
      <b val="1"/>
      <color rgb="FF10B981"/>
      <sz val="10"/>
    </font>
    <font>
      <name val="Calibri"/>
      <family val="2"/>
      <b val="1"/>
      <color rgb="FFF59E0B"/>
      <sz val="10"/>
    </font>
    <font>
      <name val="Calibri"/>
      <family val="2"/>
      <b val="1"/>
      <color rgb="FFEF4444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1E3A5F"/>
      <sz val="14"/>
    </font>
    <font>
      <name val="Calibri"/>
      <family val="2"/>
      <i val="1"/>
      <color rgb="FF64748B"/>
      <sz val="9"/>
    </font>
    <font>
      <name val="Calibri"/>
      <family val="2"/>
      <b val="1"/>
      <color rgb="FF1E3A5F"/>
      <sz val="13"/>
    </font>
    <font>
      <name val="Calibri"/>
      <family val="2"/>
      <b val="1"/>
      <color rgb="FF1E3A5F"/>
      <sz val="12"/>
    </font>
    <font>
      <name val="Calibri"/>
      <family val="2"/>
      <color rgb="FF334155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color rgb="FF64748B"/>
      <sz val="9"/>
    </font>
    <font>
      <name val="Calibri"/>
      <family val="2"/>
      <b val="1"/>
      <color rgb="FF1E3A5F"/>
      <sz val="20"/>
    </font>
    <font>
      <name val="Calibri"/>
      <family val="2"/>
      <b val="1"/>
      <color rgb="FF1E3A5F"/>
      <sz val="16"/>
    </font>
    <font>
      <name val="Calibri"/>
      <family val="2"/>
      <color rgb="FF475569"/>
      <sz val="9"/>
    </font>
    <font>
      <name val="Calibri"/>
      <family val="2"/>
      <b val="1"/>
      <color rgb="FF065F46"/>
      <sz val="10"/>
    </font>
    <font>
      <name val="Calibri"/>
      <family val="2"/>
      <b val="1"/>
      <color rgb="FF0E7490"/>
      <sz val="10"/>
    </font>
    <font>
      <name val="Calibri"/>
      <family val="2"/>
      <b val="1"/>
      <color rgb="FF713F12"/>
      <sz val="10"/>
    </font>
    <font>
      <name val="Calibri"/>
      <family val="2"/>
      <b val="1"/>
      <color rgb="FF7F1D1D"/>
      <sz val="10"/>
    </font>
  </fonts>
  <fills count="2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FEFCE8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E2E8F0"/>
      </patternFill>
    </fill>
    <fill>
      <patternFill patternType="solid">
        <fgColor rgb="FFEDE9FE"/>
      </patternFill>
    </fill>
    <fill>
      <patternFill patternType="solid">
        <fgColor rgb="FF8B5CF6"/>
      </patternFill>
    </fill>
    <fill>
      <patternFill patternType="solid">
        <fgColor rgb="FFD1FAE5"/>
      </patternFill>
    </fill>
    <fill>
      <patternFill patternType="solid">
        <fgColor rgb="FF10B981"/>
      </patternFill>
    </fill>
    <fill>
      <patternFill patternType="solid">
        <fgColor rgb="FFFEF3C7"/>
      </patternFill>
    </fill>
    <fill>
      <patternFill patternType="solid">
        <fgColor rgb="FFF59E0B"/>
      </patternFill>
    </fill>
    <fill>
      <patternFill patternType="solid">
        <fgColor rgb="FFFEE2E2"/>
      </patternFill>
    </fill>
    <fill>
      <patternFill patternType="solid">
        <fgColor rgb="FFEF4444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7F1D1D"/>
      </patternFill>
    </fill>
    <fill>
      <patternFill patternType="solid">
        <fgColor rgb="FFFEF9C3"/>
      </patternFill>
    </fill>
    <fill>
      <patternFill patternType="solid">
        <fgColor rgb="FF475569"/>
      </patternFill>
    </fill>
    <fill>
      <patternFill patternType="solid">
        <fgColor rgb="FFCFFAFE"/>
      </patternFill>
    </fill>
  </fills>
  <borders count="17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/>
      <bottom style="medium">
        <color rgb="FF404040"/>
      </bottom>
      <diagonal/>
    </border>
    <border>
      <left/>
      <right/>
      <top/>
      <bottom style="thin">
        <color rgb="FFC0C0C0"/>
      </bottom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/>
      <right/>
      <top style="medium">
        <color rgb="FF404040"/>
      </top>
      <bottom style="thin">
        <color rgb="FFC0C0C0"/>
      </bottom>
      <diagonal/>
    </border>
    <border>
      <left/>
      <right style="medium">
        <color rgb="FF404040"/>
      </right>
      <top style="medium">
        <color rgb="FF404040"/>
      </top>
      <bottom style="thin">
        <color rgb="FFC0C0C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4" fillId="3" borderId="0" applyAlignment="1" pivotButton="0" quotePrefix="0" xfId="0">
      <alignment horizontal="right" vertical="center"/>
    </xf>
    <xf numFmtId="0" fontId="1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right" vertical="center"/>
    </xf>
    <xf numFmtId="0" fontId="11" fillId="9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left" vertical="center"/>
    </xf>
    <xf numFmtId="1" fontId="12" fillId="10" borderId="5" applyAlignment="1" pivotButton="0" quotePrefix="0" xfId="0">
      <alignment horizontal="center" vertical="center"/>
    </xf>
    <xf numFmtId="0" fontId="9" fillId="10" borderId="5" applyAlignment="1" pivotButton="0" quotePrefix="0" xfId="0">
      <alignment horizontal="left" vertical="center"/>
    </xf>
    <xf numFmtId="2" fontId="4" fillId="10" borderId="5" applyAlignment="1" pivotButton="0" quotePrefix="0" xfId="0">
      <alignment horizontal="right" vertical="center"/>
    </xf>
    <xf numFmtId="0" fontId="11" fillId="12" borderId="5" applyAlignment="1" pivotButton="0" quotePrefix="0" xfId="0">
      <alignment horizontal="center" vertical="center"/>
    </xf>
    <xf numFmtId="0" fontId="11" fillId="14" borderId="5" applyAlignment="1" pivotButton="0" quotePrefix="0" xfId="0">
      <alignment horizontal="center" vertical="center"/>
    </xf>
    <xf numFmtId="0" fontId="11" fillId="16" borderId="5" applyAlignment="1" pivotButton="0" quotePrefix="0" xfId="0">
      <alignment horizontal="center" vertical="center"/>
    </xf>
    <xf numFmtId="0" fontId="11" fillId="18" borderId="5" applyAlignment="1" pivotButton="0" quotePrefix="0" xfId="0">
      <alignment horizontal="center" vertical="center"/>
    </xf>
    <xf numFmtId="0" fontId="0" fillId="19" borderId="1" pivotButton="0" quotePrefix="0" xfId="0"/>
    <xf numFmtId="0" fontId="4" fillId="19" borderId="1" applyAlignment="1" pivotButton="0" quotePrefix="0" xfId="0">
      <alignment horizontal="right" vertical="center"/>
    </xf>
    <xf numFmtId="0" fontId="18" fillId="19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0" fillId="20" borderId="1" pivotButton="0" quotePrefix="0" xfId="0"/>
    <xf numFmtId="0" fontId="4" fillId="20" borderId="1" applyAlignment="1" pivotButton="0" quotePrefix="0" xfId="0">
      <alignment horizontal="right" vertical="center"/>
    </xf>
    <xf numFmtId="0" fontId="21" fillId="20" borderId="1" applyAlignment="1" pivotButton="0" quotePrefix="0" xfId="0">
      <alignment horizontal="center" vertical="center"/>
    </xf>
    <xf numFmtId="0" fontId="0" fillId="7" borderId="7" pivotButton="0" quotePrefix="0" xfId="0"/>
    <xf numFmtId="0" fontId="12" fillId="7" borderId="7" applyAlignment="1" pivotButton="0" quotePrefix="0" xfId="0">
      <alignment horizontal="right" vertical="center"/>
    </xf>
    <xf numFmtId="0" fontId="18" fillId="7" borderId="7" applyAlignment="1" pivotButton="0" quotePrefix="0" xfId="0">
      <alignment horizontal="center" vertical="center"/>
    </xf>
    <xf numFmtId="0" fontId="0" fillId="7" borderId="1" pivotButton="0" quotePrefix="0" xfId="0"/>
    <xf numFmtId="0" fontId="4" fillId="7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23" borderId="0" applyAlignment="1" pivotButton="0" quotePrefix="0" xfId="0">
      <alignment horizontal="center" vertical="center"/>
    </xf>
    <xf numFmtId="0" fontId="0" fillId="9" borderId="1" pivotButton="0" quotePrefix="0" xfId="0"/>
    <xf numFmtId="0" fontId="24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5" fontId="25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0" fillId="12" borderId="1" pivotButton="0" quotePrefix="0" xfId="0"/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165" fontId="25" fillId="11" borderId="1" applyAlignment="1" pivotButton="0" quotePrefix="0" xfId="0">
      <alignment horizontal="center" vertical="center"/>
    </xf>
    <xf numFmtId="164" fontId="24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0" fillId="14" borderId="1" pivotButton="0" quotePrefix="0" xfId="0"/>
    <xf numFmtId="0" fontId="24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165" fontId="25" fillId="13" borderId="1" applyAlignment="1" pivotButton="0" quotePrefix="0" xfId="0">
      <alignment horizontal="center" vertical="center"/>
    </xf>
    <xf numFmtId="164" fontId="24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0" fillId="16" borderId="1" pivotButton="0" quotePrefix="0" xfId="0"/>
    <xf numFmtId="0" fontId="24" fillId="15" borderId="1" applyAlignment="1" pivotButton="0" quotePrefix="0" xfId="0">
      <alignment horizontal="left" vertical="center"/>
    </xf>
    <xf numFmtId="0" fontId="25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165" fontId="25" fillId="15" borderId="1" applyAlignment="1" pivotButton="0" quotePrefix="0" xfId="0">
      <alignment horizontal="center" vertical="center"/>
    </xf>
    <xf numFmtId="164" fontId="24" fillId="15" borderId="1" applyAlignment="1" pivotButton="0" quotePrefix="0" xfId="0">
      <alignment horizontal="center" vertical="center"/>
    </xf>
    <xf numFmtId="0" fontId="24" fillId="15" borderId="1" applyAlignment="1" pivotButton="0" quotePrefix="0" xfId="0">
      <alignment horizontal="center" vertical="center"/>
    </xf>
    <xf numFmtId="0" fontId="0" fillId="18" borderId="1" pivotButton="0" quotePrefix="0" xfId="0"/>
    <xf numFmtId="0" fontId="24" fillId="17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165" fontId="25" fillId="17" borderId="1" applyAlignment="1" pivotButton="0" quotePrefix="0" xfId="0">
      <alignment horizontal="center" vertical="center"/>
    </xf>
    <xf numFmtId="164" fontId="24" fillId="17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31" fillId="24" borderId="1" applyAlignment="1" pivotButton="0" quotePrefix="0" xfId="0">
      <alignment horizontal="center" vertical="center"/>
    </xf>
    <xf numFmtId="0" fontId="32" fillId="22" borderId="1" applyAlignment="1" pivotButton="0" quotePrefix="0" xfId="0">
      <alignment horizontal="center" vertical="center"/>
    </xf>
    <xf numFmtId="0" fontId="33" fillId="1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9" fillId="19" borderId="1" applyAlignment="1" pivotButton="0" quotePrefix="0" xfId="0">
      <alignment horizontal="left" vertical="center"/>
    </xf>
    <xf numFmtId="0" fontId="16" fillId="17" borderId="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3" fillId="21" borderId="6" applyAlignment="1" pivotButton="0" quotePrefix="0" xfId="0">
      <alignment horizontal="left" vertical="center"/>
    </xf>
    <xf numFmtId="0" fontId="19" fillId="20" borderId="1" applyAlignment="1" pivotButton="0" quotePrefix="0" xfId="0">
      <alignment horizontal="left" vertical="center"/>
    </xf>
    <xf numFmtId="0" fontId="13" fillId="11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19" fillId="7" borderId="7" applyAlignment="1" pivotButton="0" quotePrefix="0" xfId="0">
      <alignment horizontal="left" vertical="center"/>
    </xf>
    <xf numFmtId="0" fontId="0" fillId="0" borderId="7" pivotButton="0" quotePrefix="0" xfId="0"/>
    <xf numFmtId="0" fontId="6" fillId="6" borderId="3" applyAlignment="1" pivotButton="0" quotePrefix="0" xfId="0">
      <alignment horizontal="left" vertical="center"/>
    </xf>
    <xf numFmtId="0" fontId="14" fillId="13" borderId="3" applyAlignment="1" pivotButton="0" quotePrefix="0" xfId="0">
      <alignment horizontal="left" vertical="center"/>
    </xf>
    <xf numFmtId="0" fontId="15" fillId="15" borderId="3" applyAlignment="1" pivotButton="0" quotePrefix="0" xfId="0">
      <alignment horizontal="left" vertical="center"/>
    </xf>
    <xf numFmtId="0" fontId="17" fillId="2" borderId="6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center" vertical="center"/>
    </xf>
    <xf numFmtId="0" fontId="18" fillId="22" borderId="4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 wrapText="1"/>
    </xf>
    <xf numFmtId="0" fontId="28" fillId="13" borderId="4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27" fillId="6" borderId="4" applyAlignment="1" pivotButton="0" quotePrefix="0" xfId="0">
      <alignment horizontal="center" vertical="center"/>
    </xf>
    <xf numFmtId="0" fontId="5" fillId="4" borderId="8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13" pivotButton="0" quotePrefix="0" xfId="0"/>
    <xf numFmtId="0" fontId="19" fillId="19" borderId="8" applyAlignment="1" pivotButton="0" quotePrefix="0" xfId="0">
      <alignment horizontal="left" vertical="center"/>
    </xf>
    <xf numFmtId="0" fontId="19" fillId="20" borderId="8" applyAlignment="1" pivotButton="0" quotePrefix="0" xfId="0">
      <alignment horizontal="left" vertical="center"/>
    </xf>
    <xf numFmtId="0" fontId="24" fillId="0" borderId="8" applyAlignment="1" pivotButton="0" quotePrefix="0" xfId="0">
      <alignment horizontal="left" vertical="center"/>
    </xf>
    <xf numFmtId="0" fontId="0" fillId="0" borderId="16" pivotButton="0" quotePrefix="0" xfId="0"/>
    <xf numFmtId="0" fontId="9" fillId="13" borderId="8" applyAlignment="1" pivotButton="0" quotePrefix="0" xfId="0">
      <alignment horizontal="left" vertical="center" wrapText="1"/>
    </xf>
    <xf numFmtId="0" fontId="9" fillId="24" borderId="8" applyAlignment="1" pivotButton="0" quotePrefix="0" xfId="0">
      <alignment horizontal="left" vertical="center" wrapText="1"/>
    </xf>
    <xf numFmtId="0" fontId="9" fillId="22" borderId="8" applyAlignment="1" pivotButton="0" quotePrefix="0" xfId="0">
      <alignment horizontal="left" vertical="center" wrapText="1"/>
    </xf>
    <xf numFmtId="0" fontId="9" fillId="17" borderId="8" applyAlignment="1" pivotButton="0" quotePrefix="0" xfId="0">
      <alignment horizontal="left" vertical="center" wrapText="1"/>
    </xf>
  </cellXfs>
  <cellStyles count="1">
    <cellStyle name="Normal" xfId="0" builtinId="0"/>
  </cellStyles>
  <dxfs count="23">
    <dxf>
      <font>
        <b val="1"/>
        <color rgb="FF065F46"/>
        <sz val="14"/>
      </font>
      <fill>
        <patternFill patternType="solid">
          <fgColor rgb="FFD1FAE5"/>
        </patternFill>
      </fill>
    </dxf>
    <dxf>
      <font>
        <b val="1"/>
        <color rgb="FF7F1D1D"/>
        <sz val="14"/>
      </font>
      <fill>
        <patternFill patternType="solid">
          <fgColor rgb="FFFEE2E2"/>
        </patternFill>
      </fill>
    </dxf>
    <dxf>
      <font>
        <b val="1"/>
        <color rgb="FF713F12"/>
        <sz val="14"/>
      </font>
      <fill>
        <patternFill patternType="solid">
          <fgColor rgb="FFFEF9C3"/>
        </patternFill>
      </fill>
    </dxf>
    <dxf>
      <font>
        <b val="1"/>
        <color rgb="FF065F46"/>
      </font>
      <fill>
        <patternFill patternType="solid">
          <fgColor rgb="FFD1FAE5"/>
        </patternFill>
      </fill>
    </dxf>
    <dxf>
      <font>
        <b val="1"/>
        <color rgb="FF713F12"/>
      </font>
      <fill>
        <patternFill patternType="solid">
          <fgColor rgb="FFFEF9C3"/>
        </patternFill>
      </fill>
    </dxf>
    <dxf>
      <font>
        <b val="1"/>
        <color rgb="FF7C2D12"/>
      </font>
      <fill>
        <patternFill patternType="solid">
          <fgColor rgb="FFFED7AA"/>
        </patternFill>
      </fill>
    </dxf>
    <dxf>
      <font>
        <b val="1"/>
        <color rgb="FF7F1D1D"/>
      </font>
      <fill>
        <patternFill patternType="solid">
          <fgColor rgb="FFFEE2E2"/>
        </patternFill>
      </fill>
    </dxf>
    <dxf>
      <font>
        <b val="1"/>
        <color rgb="FF065F46"/>
      </font>
      <fill>
        <patternFill patternType="solid">
          <fgColor rgb="FFD1FAE5"/>
        </patternFill>
      </fill>
    </dxf>
    <dxf>
      <font>
        <b val="1"/>
        <color rgb="FF713F12"/>
      </font>
      <fill>
        <patternFill patternType="solid">
          <fgColor rgb="FFFEF9C3"/>
        </patternFill>
      </fill>
    </dxf>
    <dxf>
      <font>
        <b val="1"/>
        <color rgb="FF7C2D12"/>
      </font>
      <fill>
        <patternFill patternType="solid">
          <fgColor rgb="FFFED7AA"/>
        </patternFill>
      </fill>
    </dxf>
    <dxf>
      <font>
        <b val="1"/>
        <color rgb="FF7F1D1D"/>
      </font>
      <fill>
        <patternFill patternType="solid">
          <fgColor rgb="FFFEE2E2"/>
        </patternFill>
      </fill>
    </dxf>
    <dxf>
      <font>
        <b val="1"/>
        <color rgb="FF065F46"/>
      </font>
      <fill>
        <patternFill patternType="solid">
          <fgColor rgb="FFD1FAE5"/>
        </patternFill>
      </fill>
    </dxf>
    <dxf>
      <font>
        <b val="1"/>
        <color rgb="FF713F12"/>
      </font>
      <fill>
        <patternFill patternType="solid">
          <fgColor rgb="FFFEF9C3"/>
        </patternFill>
      </fill>
    </dxf>
    <dxf>
      <font>
        <b val="1"/>
        <color rgb="FF7C2D12"/>
      </font>
      <fill>
        <patternFill patternType="solid">
          <fgColor rgb="FFFED7AA"/>
        </patternFill>
      </fill>
    </dxf>
    <dxf>
      <font>
        <b val="1"/>
        <color rgb="FF7F1D1D"/>
      </font>
      <fill>
        <patternFill patternType="solid">
          <fgColor rgb="FFFEE2E2"/>
        </patternFill>
      </fill>
    </dxf>
    <dxf>
      <font>
        <b val="1"/>
        <color rgb="FF713F12"/>
      </font>
      <fill>
        <patternFill patternType="solid">
          <fgColor rgb="FFFEF9C3"/>
        </patternFill>
      </fill>
    </dxf>
    <dxf>
      <font>
        <b val="1"/>
        <color rgb="FF7C2D12"/>
      </font>
      <fill>
        <patternFill patternType="solid">
          <fgColor rgb="FFFED7AA"/>
        </patternFill>
      </fill>
    </dxf>
    <dxf>
      <font>
        <b val="1"/>
        <color rgb="FF7F1D1D"/>
      </font>
      <fill>
        <patternFill patternType="solid">
          <fgColor rgb="FFFEE2E2"/>
        </patternFill>
      </fill>
    </dxf>
    <dxf>
      <font>
        <b val="1"/>
        <color rgb="FF065F46"/>
      </font>
      <fill>
        <patternFill patternType="solid">
          <fgColor rgb="FFD1FAE5"/>
        </patternFill>
      </fill>
    </dxf>
    <dxf>
      <font>
        <b val="1"/>
        <color rgb="FF065F46"/>
      </font>
      <fill>
        <patternFill patternType="solid">
          <fgColor rgb="FFD1FAE5"/>
        </patternFill>
      </fill>
    </dxf>
    <dxf>
      <font>
        <b val="1"/>
        <color rgb="FF7F1D1D"/>
      </font>
      <fill>
        <patternFill patternType="solid">
          <fgColor rgb="FFFEE2E2"/>
        </patternFill>
      </fill>
    </dxf>
    <dxf>
      <font>
        <b val="1"/>
        <color rgb="FF7C2D12"/>
      </font>
      <fill>
        <patternFill patternType="solid">
          <fgColor rgb="FFFED7AA"/>
        </patternFill>
      </fill>
    </dxf>
    <dxf>
      <font>
        <b val="1"/>
        <color rgb="FF713F12"/>
      </font>
      <fill>
        <patternFill patternType="solid">
          <fgColor rgb="FF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Complexity Profile (% of Max)</a:t>
            </a:r>
          </a:p>
        </rich>
      </tx>
      <overlay val="1"/>
    </title>
    <plotArea>
      <layout/>
      <radarChart>
        <radarStyle val="filled"/>
        <varyColors val="1"/>
        <ser>
          <idx val="0"/>
          <order val="0"/>
          <tx>
            <strRef>
              <f>Dashboard!$E$10</f>
              <strCache>
                <ptCount val="1"/>
                <pt idx="0">
                  <v>% Score</v>
                </pt>
              </strCache>
            </strRef>
          </tx>
          <spPr>
            <a:solidFill xmlns:a="http://schemas.openxmlformats.org/drawingml/2006/main">
              <a:srgbClr val="BFDBFE"/>
            </a:solidFill>
            <a:ln xmlns:a="http://schemas.openxmlformats.org/drawingml/2006/main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Dashboard!$B$11:$B$15</f>
              <strCache>
                <ptCount val="5"/>
                <pt idx="0">
                  <v>Dim 1: Protocol Design &amp; Study Complexity</v>
                </pt>
                <pt idx="1">
                  <v>Dim 2: Operational Execution &amp; Site Burden</v>
                </pt>
                <pt idx="2">
                  <v>Dim 3: Regulatory &amp; Oversight Requirements</v>
                </pt>
                <pt idx="3">
                  <v>Dim 4: Resource &amp; Workforce Capacity</v>
                </pt>
                <pt idx="4">
                  <v>Dim 5: Patient Population &amp; Recruitment</v>
                </pt>
              </strCache>
            </strRef>
          </cat>
          <val>
            <numRef>
              <f>Dashboard!$E$11:$E$15</f>
              <numCache>
                <formatCode>0"%"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rad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0&quot;%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Scored vs Max by Dimension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v>Raw Score</v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Dashboard!$B$11:$B$15</f>
              <strCache>
                <ptCount val="5"/>
                <pt idx="0">
                  <v>Dim 1: Protocol Design &amp; Study Complexity</v>
                </pt>
                <pt idx="1">
                  <v>Dim 2: Operational Execution &amp; Site Burden</v>
                </pt>
                <pt idx="2">
                  <v>Dim 3: Regulatory &amp; Oversight Requirements</v>
                </pt>
                <pt idx="3">
                  <v>Dim 4: Resource &amp; Workforce Capacity</v>
                </pt>
                <pt idx="4">
                  <v>Dim 5: Patient Population &amp; Recruitment</v>
                </pt>
              </strCache>
            </strRef>
          </cat>
          <val>
            <numRef>
              <f>Dashboard!$C$11:$C$15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v>Max Score</v>
          </tx>
          <spPr>
            <a:solidFill xmlns:a="http://schemas.openxmlformats.org/drawingml/2006/main">
              <a:srgbClr val="E2E8F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Dashboard!$B$11:$B$15</f>
              <strCache>
                <ptCount val="5"/>
                <pt idx="0">
                  <v>Dim 1: Protocol Design &amp; Study Complexity</v>
                </pt>
                <pt idx="1">
                  <v>Dim 2: Operational Execution &amp; Site Burden</v>
                </pt>
                <pt idx="2">
                  <v>Dim 3: Regulatory &amp; Oversight Requirements</v>
                </pt>
                <pt idx="3">
                  <v>Dim 4: Resource &amp; Workforce Capacity</v>
                </pt>
                <pt idx="4">
                  <v>Dim 5: Patient Population &amp; Recruitment</v>
                </pt>
              </strCache>
            </strRef>
          </cat>
          <val>
            <numRef>
              <f>Dashboard!$D$11:$D$15</f>
              <numCache>
                <formatCode>General</formatCode>
                <ptCount val="5"/>
                <pt idx="0">
                  <v>21</v>
                </pt>
                <pt idx="1">
                  <v>24</v>
                </pt>
                <pt idx="2">
                  <v>18</v>
                </pt>
                <pt idx="3">
                  <v>21</v>
                </pt>
                <pt idx="4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Dimension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0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50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workbookViewId="0">
      <pane ySplit="7" topLeftCell="A51" activePane="bottomLeft" state="frozen"/>
      <selection pane="bottomLeft" activeCell="A1" sqref="A1:E1"/>
    </sheetView>
  </sheetViews>
  <sheetFormatPr baseColWidth="10" defaultColWidth="8.83203125" defaultRowHeight="15"/>
  <cols>
    <col width="7" customWidth="1" style="85" min="1" max="1"/>
    <col width="33" customWidth="1" style="85" min="2" max="2"/>
    <col width="10" customWidth="1" style="85" min="3" max="3"/>
    <col width="46" customWidth="1" style="85" min="4" max="4"/>
    <col width="24" customWidth="1" style="85" min="5" max="5"/>
  </cols>
  <sheetData>
    <row r="1" ht="36" customHeight="1" s="85">
      <c r="A1" s="88" t="inlineStr">
        <is>
          <t>Clinical Trial Complexity Assessment</t>
        </is>
      </c>
    </row>
    <row r="2" ht="18" customHeight="1" s="85">
      <c r="A2" s="92" t="inlineStr">
        <is>
          <t>Go / No-Go Decision Support · 5 Dimensions · 37 Criteria · OPAL / EFACCT Framework</t>
        </is>
      </c>
    </row>
    <row r="3" ht="20" customHeight="1" s="85">
      <c r="A3" s="1" t="inlineStr">
        <is>
          <t>Study Name:</t>
        </is>
      </c>
      <c r="B3" s="111" t="n"/>
      <c r="C3" s="86" t="n"/>
      <c r="D3" s="86" t="n"/>
      <c r="E3" s="86" t="n"/>
    </row>
    <row r="4" ht="20" customHeight="1" s="85">
      <c r="A4" s="1" t="inlineStr">
        <is>
          <t>Protocol #:</t>
        </is>
      </c>
      <c r="B4" s="111" t="n"/>
      <c r="C4" s="86" t="n"/>
      <c r="D4" s="86" t="n"/>
      <c r="E4" s="86" t="n"/>
    </row>
    <row r="5" ht="20" customHeight="1" s="85">
      <c r="A5" s="1" t="inlineStr">
        <is>
          <t>Assessment Date:</t>
        </is>
      </c>
      <c r="B5" s="111" t="n"/>
      <c r="C5" s="86" t="n"/>
      <c r="D5" s="86" t="n"/>
      <c r="E5" s="86" t="n"/>
    </row>
    <row r="6" ht="20" customHeight="1" s="85">
      <c r="A6" s="1" t="inlineStr">
        <is>
          <t>Assessor:</t>
        </is>
      </c>
      <c r="B6" s="111" t="n"/>
      <c r="C6" s="86" t="n"/>
      <c r="D6" s="86" t="n"/>
      <c r="E6" s="86" t="n"/>
    </row>
    <row r="7" ht="24" customHeight="1" s="85">
      <c r="A7" s="2" t="inlineStr">
        <is>
          <t>ID</t>
        </is>
      </c>
      <c r="B7" s="3" t="inlineStr">
        <is>
          <t>Criterion</t>
        </is>
      </c>
      <c r="C7" s="2" t="inlineStr">
        <is>
          <t>Score
(0–3)</t>
        </is>
      </c>
      <c r="D7" s="3" t="inlineStr">
        <is>
          <t>Score Description</t>
        </is>
      </c>
      <c r="E7" s="3" t="inlineStr">
        <is>
          <t>Wtd. Contrib.</t>
        </is>
      </c>
    </row>
    <row r="8" ht="22" customHeight="1" s="85">
      <c r="A8" s="95" t="inlineStr">
        <is>
          <t>DIMENSION 1:  PROTOCOL DESIGN &amp; STUDY COMPLEXITY     (weight ×1.2  |  max raw 21  |  red flag if raw &gt; 15)</t>
        </is>
      </c>
      <c r="B8" s="112" t="n"/>
      <c r="C8" s="112" t="n"/>
      <c r="D8" s="112" t="n"/>
      <c r="E8" s="113" t="n"/>
    </row>
    <row r="9" ht="30" customHeight="1" s="85">
      <c r="A9" s="4" t="inlineStr">
        <is>
          <t>1.1</t>
        </is>
      </c>
      <c r="B9" s="5" t="inlineStr">
        <is>
          <t>Trial Phase</t>
        </is>
      </c>
      <c r="C9" s="6" t="n"/>
      <c r="D9" s="7">
        <f>IFERROR(INDEX(Lookup!$B$2:$E$38,MATCH(A9,Lookup!$A$2:$A$38,0),C9+1),"")</f>
        <v/>
      </c>
      <c r="E9" s="8">
        <f>IF(ISNUMBER(C9),C9*1.2,0)</f>
        <v/>
      </c>
    </row>
    <row r="10" ht="30" customHeight="1" s="85">
      <c r="A10" s="4" t="inlineStr">
        <is>
          <t>1.2</t>
        </is>
      </c>
      <c r="B10" s="5" t="inlineStr">
        <is>
          <t>Study Design Complexity</t>
        </is>
      </c>
      <c r="C10" s="6" t="n"/>
      <c r="D10" s="7">
        <f>IFERROR(INDEX(Lookup!$B$2:$E$38,MATCH(A10,Lookup!$A$2:$A$38,0),C10+1),"")</f>
        <v/>
      </c>
      <c r="E10" s="8">
        <f>IF(ISNUMBER(C10),C10*1.2,0)</f>
        <v/>
      </c>
    </row>
    <row r="11" ht="30" customHeight="1" s="85">
      <c r="A11" s="4" t="inlineStr">
        <is>
          <t>1.3</t>
        </is>
      </c>
      <c r="B11" s="5" t="inlineStr">
        <is>
          <t>Number of Treatment Arms</t>
        </is>
      </c>
      <c r="C11" s="6" t="n"/>
      <c r="D11" s="7">
        <f>IFERROR(INDEX(Lookup!$B$2:$E$38,MATCH(A11,Lookup!$A$2:$A$38,0),C11+1),"")</f>
        <v/>
      </c>
      <c r="E11" s="8">
        <f>IF(ISNUMBER(C11),C11*1.2,0)</f>
        <v/>
      </c>
    </row>
    <row r="12" ht="30" customHeight="1" s="85">
      <c r="A12" s="4" t="inlineStr">
        <is>
          <t>1.4</t>
        </is>
      </c>
      <c r="B12" s="5" t="inlineStr">
        <is>
          <t>Eligibility Criteria Complexity</t>
        </is>
      </c>
      <c r="C12" s="6" t="n"/>
      <c r="D12" s="7">
        <f>IFERROR(INDEX(Lookup!$B$2:$E$38,MATCH(A12,Lookup!$A$2:$A$38,0),C12+1),"")</f>
        <v/>
      </c>
      <c r="E12" s="8">
        <f>IF(ISNUMBER(C12),C12*1.2,0)</f>
        <v/>
      </c>
    </row>
    <row r="13" ht="30" customHeight="1" s="85">
      <c r="A13" s="4" t="inlineStr">
        <is>
          <t>1.5</t>
        </is>
      </c>
      <c r="B13" s="5" t="inlineStr">
        <is>
          <t>Biomarker Requirements</t>
        </is>
      </c>
      <c r="C13" s="6" t="n"/>
      <c r="D13" s="7">
        <f>IFERROR(INDEX(Lookup!$B$2:$E$38,MATCH(A13,Lookup!$A$2:$A$38,0),C13+1),"")</f>
        <v/>
      </c>
      <c r="E13" s="8">
        <f>IF(ISNUMBER(C13),C13*1.2,0)</f>
        <v/>
      </c>
    </row>
    <row r="14" ht="30" customHeight="1" s="85">
      <c r="A14" s="4" t="inlineStr">
        <is>
          <t>1.6</t>
        </is>
      </c>
      <c r="B14" s="5" t="inlineStr">
        <is>
          <t>Primary Endpoint Complexity</t>
        </is>
      </c>
      <c r="C14" s="6" t="n"/>
      <c r="D14" s="7">
        <f>IFERROR(INDEX(Lookup!$B$2:$E$38,MATCH(A14,Lookup!$A$2:$A$38,0),C14+1),"")</f>
        <v/>
      </c>
      <c r="E14" s="8">
        <f>IF(ISNUMBER(C14),C14*1.2,0)</f>
        <v/>
      </c>
    </row>
    <row r="15" ht="30" customHeight="1" s="85">
      <c r="A15" s="4" t="inlineStr">
        <is>
          <t>1.7</t>
        </is>
      </c>
      <c r="B15" s="5" t="inlineStr">
        <is>
          <t>Protocol Amendment History</t>
        </is>
      </c>
      <c r="C15" s="6" t="n"/>
      <c r="D15" s="7">
        <f>IFERROR(INDEX(Lookup!$B$2:$E$38,MATCH(A15,Lookup!$A$2:$A$38,0),C15+1),"")</f>
        <v/>
      </c>
      <c r="E15" s="8">
        <f>IF(ISNUMBER(C15),C15*1.2,0)</f>
        <v/>
      </c>
    </row>
    <row r="16" ht="20" customHeight="1" s="85">
      <c r="A16" s="9" t="inlineStr">
        <is>
          <t>D1</t>
        </is>
      </c>
      <c r="B16" s="10" t="inlineStr">
        <is>
          <t>Dimension 1 Subtotal</t>
        </is>
      </c>
      <c r="C16" s="11">
        <f>SUM(C9:C15)</f>
        <v/>
      </c>
      <c r="D16" s="12">
        <f>C16&amp;" / 21 raw  (⚑ RED FLAG if &gt; 15)"</f>
        <v/>
      </c>
      <c r="E16" s="13">
        <f>SUM(E9:E15)</f>
        <v/>
      </c>
    </row>
    <row r="18" ht="22" customHeight="1" s="85">
      <c r="A18" s="91" t="inlineStr">
        <is>
          <t>DIMENSION 2:  OPERATIONAL EXECUTION &amp; SITE BURDEN     (weight ×1.5  |  max raw 24  |  red flag if raw &gt; 17)</t>
        </is>
      </c>
      <c r="B18" s="112" t="n"/>
      <c r="C18" s="112" t="n"/>
      <c r="D18" s="112" t="n"/>
      <c r="E18" s="113" t="n"/>
    </row>
    <row r="19" ht="30" customHeight="1" s="85">
      <c r="A19" s="4" t="inlineStr">
        <is>
          <t>2.1</t>
        </is>
      </c>
      <c r="B19" s="5" t="inlineStr">
        <is>
          <t>Number of Study Visits</t>
        </is>
      </c>
      <c r="C19" s="6" t="n"/>
      <c r="D19" s="7">
        <f>IFERROR(INDEX(Lookup!$B$2:$E$38,MATCH(A19,Lookup!$A$2:$A$38,0),C19+1),"")</f>
        <v/>
      </c>
      <c r="E19" s="8">
        <f>IF(ISNUMBER(C19),C19*1.5,0)</f>
        <v/>
      </c>
    </row>
    <row r="20" ht="30" customHeight="1" s="85">
      <c r="A20" s="4" t="inlineStr">
        <is>
          <t>2.2</t>
        </is>
      </c>
      <c r="B20" s="5" t="inlineStr">
        <is>
          <t>Visit Duration</t>
        </is>
      </c>
      <c r="C20" s="6" t="n"/>
      <c r="D20" s="7">
        <f>IFERROR(INDEX(Lookup!$B$2:$E$38,MATCH(A20,Lookup!$A$2:$A$38,0),C20+1),"")</f>
        <v/>
      </c>
      <c r="E20" s="8">
        <f>IF(ISNUMBER(C20),C20*1.5,0)</f>
        <v/>
      </c>
    </row>
    <row r="21" ht="30" customHeight="1" s="85">
      <c r="A21" s="4" t="inlineStr">
        <is>
          <t>2.3</t>
        </is>
      </c>
      <c r="B21" s="5" t="inlineStr">
        <is>
          <t>Assessment Procedures</t>
        </is>
      </c>
      <c r="C21" s="6" t="n"/>
      <c r="D21" s="7">
        <f>IFERROR(INDEX(Lookup!$B$2:$E$38,MATCH(A21,Lookup!$A$2:$A$38,0),C21+1),"")</f>
        <v/>
      </c>
      <c r="E21" s="8">
        <f>IF(ISNUMBER(C21),C21*1.5,0)</f>
        <v/>
      </c>
    </row>
    <row r="22" ht="30" customHeight="1" s="85">
      <c r="A22" s="4" t="inlineStr">
        <is>
          <t>2.4</t>
        </is>
      </c>
      <c r="B22" s="5" t="inlineStr">
        <is>
          <t>Data Collection Burden</t>
        </is>
      </c>
      <c r="C22" s="6" t="n"/>
      <c r="D22" s="7">
        <f>IFERROR(INDEX(Lookup!$B$2:$E$38,MATCH(A22,Lookup!$A$2:$A$38,0),C22+1),"")</f>
        <v/>
      </c>
      <c r="E22" s="8">
        <f>IF(ISNUMBER(C22),C22*1.5,0)</f>
        <v/>
      </c>
    </row>
    <row r="23" ht="30" customHeight="1" s="85">
      <c r="A23" s="4" t="inlineStr">
        <is>
          <t>2.5</t>
        </is>
      </c>
      <c r="B23" s="5" t="inlineStr">
        <is>
          <t>Monitoring Intensity</t>
        </is>
      </c>
      <c r="C23" s="6" t="n"/>
      <c r="D23" s="7">
        <f>IFERROR(INDEX(Lookup!$B$2:$E$38,MATCH(A23,Lookup!$A$2:$A$38,0),C23+1),"")</f>
        <v/>
      </c>
      <c r="E23" s="8">
        <f>IF(ISNUMBER(C23),C23*1.5,0)</f>
        <v/>
      </c>
    </row>
    <row r="24" ht="30" customHeight="1" s="85">
      <c r="A24" s="4" t="inlineStr">
        <is>
          <t>2.6</t>
        </is>
      </c>
      <c r="B24" s="5" t="inlineStr">
        <is>
          <t>Investigational Product Handling</t>
        </is>
      </c>
      <c r="C24" s="6" t="n"/>
      <c r="D24" s="7">
        <f>IFERROR(INDEX(Lookup!$B$2:$E$38,MATCH(A24,Lookup!$A$2:$A$38,0),C24+1),"")</f>
        <v/>
      </c>
      <c r="E24" s="8">
        <f>IF(ISNUMBER(C24),C24*1.5,0)</f>
        <v/>
      </c>
    </row>
    <row r="25" ht="30" customHeight="1" s="85">
      <c r="A25" s="4" t="inlineStr">
        <is>
          <t>2.7</t>
        </is>
      </c>
      <c r="B25" s="5" t="inlineStr">
        <is>
          <t>Third-Party Coordination</t>
        </is>
      </c>
      <c r="C25" s="6" t="n"/>
      <c r="D25" s="7">
        <f>IFERROR(INDEX(Lookup!$B$2:$E$38,MATCH(A25,Lookup!$A$2:$A$38,0),C25+1),"")</f>
        <v/>
      </c>
      <c r="E25" s="8">
        <f>IF(ISNUMBER(C25),C25*1.5,0)</f>
        <v/>
      </c>
    </row>
    <row r="26" ht="30" customHeight="1" s="85">
      <c r="A26" s="4" t="inlineStr">
        <is>
          <t>2.8</t>
        </is>
      </c>
      <c r="B26" s="5" t="inlineStr">
        <is>
          <t>Safety Reporting Requirements</t>
        </is>
      </c>
      <c r="C26" s="6" t="n"/>
      <c r="D26" s="7">
        <f>IFERROR(INDEX(Lookup!$B$2:$E$38,MATCH(A26,Lookup!$A$2:$A$38,0),C26+1),"")</f>
        <v/>
      </c>
      <c r="E26" s="8">
        <f>IF(ISNUMBER(C26),C26*1.5,0)</f>
        <v/>
      </c>
    </row>
    <row r="27" ht="20" customHeight="1" s="85">
      <c r="A27" s="4" t="inlineStr">
        <is>
          <t>2.9</t>
        </is>
      </c>
      <c r="B27" s="5" t="inlineStr">
        <is>
          <t>Unscheduled / Event-Driven Visit Burden</t>
        </is>
      </c>
      <c r="C27" s="6" t="n"/>
      <c r="D27" s="7">
        <f>IFERROR(INDEX(Lookup!$B$2:$E$38,MATCH(A27,Lookup!$A$2:$A$38,0),C27+1),"")</f>
        <v/>
      </c>
      <c r="E27" s="8">
        <f>IF(ISNUMBER(C27),C27*1.5,0)</f>
        <v/>
      </c>
    </row>
    <row r="28">
      <c r="A28" s="14" t="inlineStr">
        <is>
          <t>D2</t>
        </is>
      </c>
      <c r="B28" s="10" t="inlineStr">
        <is>
          <t>Dimension 2 Subtotal</t>
        </is>
      </c>
      <c r="C28" s="11">
        <f>SUM(C19:C27)</f>
        <v/>
      </c>
      <c r="D28" s="12">
        <f>C28&amp;" / 27 raw  (⚑ RED FLAG if &gt; 19)"</f>
        <v/>
      </c>
      <c r="E28" s="13">
        <f>SUM(E19:E27)</f>
        <v/>
      </c>
    </row>
    <row r="29" ht="22" customHeight="1" s="85"/>
    <row r="30" ht="30" customHeight="1" s="85">
      <c r="A30" s="96" t="inlineStr">
        <is>
          <t>DIMENSION 3:  REGULATORY &amp; OVERSIGHT REQUIREMENTS     (weight ×1.0  |  max raw 18  |  red flag if raw &gt; 13)</t>
        </is>
      </c>
      <c r="B30" s="112" t="n"/>
      <c r="C30" s="112" t="n"/>
      <c r="D30" s="112" t="n"/>
      <c r="E30" s="113" t="n"/>
    </row>
    <row r="31" ht="30" customHeight="1" s="85">
      <c r="A31" s="4" t="inlineStr">
        <is>
          <t>3.1</t>
        </is>
      </c>
      <c r="B31" s="5" t="inlineStr">
        <is>
          <t>IRB / Ethics Review</t>
        </is>
      </c>
      <c r="C31" s="6" t="n"/>
      <c r="D31" s="7">
        <f>IFERROR(INDEX(Lookup!$B$2:$E$38,MATCH(A31,Lookup!$A$2:$A$38,0),C31+1),"")</f>
        <v/>
      </c>
      <c r="E31" s="8">
        <f>IF(ISNUMBER(C31),C31*1.0,0)</f>
        <v/>
      </c>
    </row>
    <row r="32" ht="30" customHeight="1" s="85">
      <c r="A32" s="4" t="inlineStr">
        <is>
          <t>3.2</t>
        </is>
      </c>
      <c r="B32" s="5" t="inlineStr">
        <is>
          <t>Regulatory Submissions</t>
        </is>
      </c>
      <c r="C32" s="6" t="n"/>
      <c r="D32" s="7">
        <f>IFERROR(INDEX(Lookup!$B$2:$E$38,MATCH(A32,Lookup!$A$2:$A$38,0),C32+1),"")</f>
        <v/>
      </c>
      <c r="E32" s="8">
        <f>IF(ISNUMBER(C32),C32*1.0,0)</f>
        <v/>
      </c>
    </row>
    <row r="33" ht="30" customHeight="1" s="85">
      <c r="A33" s="4" t="inlineStr">
        <is>
          <t>3.3</t>
        </is>
      </c>
      <c r="B33" s="5" t="inlineStr">
        <is>
          <t>Informed Consent Complexity</t>
        </is>
      </c>
      <c r="C33" s="6" t="n"/>
      <c r="D33" s="7">
        <f>IFERROR(INDEX(Lookup!$B$2:$E$38,MATCH(A33,Lookup!$A$2:$A$38,0),C33+1),"")</f>
        <v/>
      </c>
      <c r="E33" s="8">
        <f>IF(ISNUMBER(C33),C33*1.0,0)</f>
        <v/>
      </c>
    </row>
    <row r="34" ht="30" customHeight="1" s="85">
      <c r="A34" s="4" t="inlineStr">
        <is>
          <t>3.4</t>
        </is>
      </c>
      <c r="B34" s="5" t="inlineStr">
        <is>
          <t>Data Privacy Requirements</t>
        </is>
      </c>
      <c r="C34" s="6" t="n"/>
      <c r="D34" s="7">
        <f>IFERROR(INDEX(Lookup!$B$2:$E$38,MATCH(A34,Lookup!$A$2:$A$38,0),C34+1),"")</f>
        <v/>
      </c>
      <c r="E34" s="8">
        <f>IF(ISNUMBER(C34),C34*1.0,0)</f>
        <v/>
      </c>
    </row>
    <row r="35" ht="30" customHeight="1" s="85">
      <c r="A35" s="4" t="inlineStr">
        <is>
          <t>3.5</t>
        </is>
      </c>
      <c r="B35" s="5" t="inlineStr">
        <is>
          <t>Oversight Committees</t>
        </is>
      </c>
      <c r="C35" s="6" t="n"/>
      <c r="D35" s="7">
        <f>IFERROR(INDEX(Lookup!$B$2:$E$38,MATCH(A35,Lookup!$A$2:$A$38,0),C35+1),"")</f>
        <v/>
      </c>
      <c r="E35" s="8">
        <f>IF(ISNUMBER(C35),C35*1.0,0)</f>
        <v/>
      </c>
    </row>
    <row r="36" ht="20" customHeight="1" s="85">
      <c r="A36" s="4" t="inlineStr">
        <is>
          <t>3.6</t>
        </is>
      </c>
      <c r="B36" s="5" t="inlineStr">
        <is>
          <t>Audit / Inspection Risk</t>
        </is>
      </c>
      <c r="C36" s="6" t="n"/>
      <c r="D36" s="7">
        <f>IFERROR(INDEX(Lookup!$B$2:$E$38,MATCH(A36,Lookup!$A$2:$A$38,0),C36+1),"")</f>
        <v/>
      </c>
      <c r="E36" s="8">
        <f>IF(ISNUMBER(C36),C36*1.0,0)</f>
        <v/>
      </c>
    </row>
    <row r="37">
      <c r="A37" s="15" t="inlineStr">
        <is>
          <t>D3</t>
        </is>
      </c>
      <c r="B37" s="10" t="inlineStr">
        <is>
          <t>Dimension 3 Subtotal</t>
        </is>
      </c>
      <c r="C37" s="11">
        <f>SUM(C31:C36)</f>
        <v/>
      </c>
      <c r="D37" s="12">
        <f>C37&amp;" / 18 raw  (⚑ RED FLAG if &gt; 13)"</f>
        <v/>
      </c>
      <c r="E37" s="13">
        <f>SUM(E31:E36)</f>
        <v/>
      </c>
    </row>
    <row r="38" ht="22" customHeight="1" s="85"/>
    <row r="39" ht="30" customHeight="1" s="85">
      <c r="A39" s="97" t="inlineStr">
        <is>
          <t>DIMENSION 4:  RESOURCE &amp; WORKFORCE CAPACITY     (weight ×1.3  |  max raw 21  |  red flag if raw &gt; 15)</t>
        </is>
      </c>
      <c r="B39" s="112" t="n"/>
      <c r="C39" s="112" t="n"/>
      <c r="D39" s="112" t="n"/>
      <c r="E39" s="113" t="n"/>
    </row>
    <row r="40" ht="30" customHeight="1" s="85">
      <c r="A40" s="4" t="inlineStr">
        <is>
          <t>4.1</t>
        </is>
      </c>
      <c r="B40" s="5" t="inlineStr">
        <is>
          <t>Coordinator Time Required</t>
        </is>
      </c>
      <c r="C40" s="6" t="n"/>
      <c r="D40" s="7">
        <f>IFERROR(INDEX(Lookup!$B$2:$E$38,MATCH(A40,Lookup!$A$2:$A$38,0),C40+1),"")</f>
        <v/>
      </c>
      <c r="E40" s="8">
        <f>IF(ISNUMBER(C40),C40*1.3,0)</f>
        <v/>
      </c>
    </row>
    <row r="41" ht="30" customHeight="1" s="85">
      <c r="A41" s="4" t="inlineStr">
        <is>
          <t>4.2</t>
        </is>
      </c>
      <c r="B41" s="5" t="inlineStr">
        <is>
          <t>Specialized Expertise Needed</t>
        </is>
      </c>
      <c r="C41" s="6" t="n"/>
      <c r="D41" s="7">
        <f>IFERROR(INDEX(Lookup!$B$2:$E$38,MATCH(A41,Lookup!$A$2:$A$38,0),C41+1),"")</f>
        <v/>
      </c>
      <c r="E41" s="8">
        <f>IF(ISNUMBER(C41),C41*1.3,0)</f>
        <v/>
      </c>
    </row>
    <row r="42" ht="30" customHeight="1" s="85">
      <c r="A42" s="4" t="inlineStr">
        <is>
          <t>4.3</t>
        </is>
      </c>
      <c r="B42" s="5" t="inlineStr">
        <is>
          <t>Space &amp; Equipment Requirements</t>
        </is>
      </c>
      <c r="C42" s="6" t="n"/>
      <c r="D42" s="7">
        <f>IFERROR(INDEX(Lookup!$B$2:$E$38,MATCH(A42,Lookup!$A$2:$A$38,0),C42+1),"")</f>
        <v/>
      </c>
      <c r="E42" s="8">
        <f>IF(ISNUMBER(C42),C42*1.3,0)</f>
        <v/>
      </c>
    </row>
    <row r="43" ht="30" customHeight="1" s="85">
      <c r="A43" s="4" t="inlineStr">
        <is>
          <t>4.4</t>
        </is>
      </c>
      <c r="B43" s="5" t="inlineStr">
        <is>
          <t>Pharmacy Resources</t>
        </is>
      </c>
      <c r="C43" s="6" t="n"/>
      <c r="D43" s="7">
        <f>IFERROR(INDEX(Lookup!$B$2:$E$38,MATCH(A43,Lookup!$A$2:$A$38,0),C43+1),"")</f>
        <v/>
      </c>
      <c r="E43" s="8">
        <f>IF(ISNUMBER(C43),C43*1.3,0)</f>
        <v/>
      </c>
    </row>
    <row r="44" ht="30" customHeight="1" s="85">
      <c r="A44" s="4" t="inlineStr">
        <is>
          <t>4.5</t>
        </is>
      </c>
      <c r="B44" s="5" t="inlineStr">
        <is>
          <t>Laboratory Resources</t>
        </is>
      </c>
      <c r="C44" s="6" t="n"/>
      <c r="D44" s="7">
        <f>IFERROR(INDEX(Lookup!$B$2:$E$38,MATCH(A44,Lookup!$A$2:$A$38,0),C44+1),"")</f>
        <v/>
      </c>
      <c r="E44" s="8">
        <f>IF(ISNUMBER(C44),C44*1.3,0)</f>
        <v/>
      </c>
    </row>
    <row r="45" ht="30" customHeight="1" s="85">
      <c r="A45" s="4" t="inlineStr">
        <is>
          <t>4.6</t>
        </is>
      </c>
      <c r="B45" s="5" t="inlineStr">
        <is>
          <t>Budget Adequacy</t>
        </is>
      </c>
      <c r="C45" s="6" t="n"/>
      <c r="D45" s="7">
        <f>IFERROR(INDEX(Lookup!$B$2:$E$38,MATCH(A45,Lookup!$A$2:$A$38,0),C45+1),"")</f>
        <v/>
      </c>
      <c r="E45" s="8">
        <f>IF(ISNUMBER(C45),C45*1.3,0)</f>
        <v/>
      </c>
    </row>
    <row r="46" ht="20" customHeight="1" s="85">
      <c r="A46" s="4" t="inlineStr">
        <is>
          <t>4.7</t>
        </is>
      </c>
      <c r="B46" s="5" t="inlineStr">
        <is>
          <t>Current Site Workload</t>
        </is>
      </c>
      <c r="C46" s="6" t="n"/>
      <c r="D46" s="7">
        <f>IFERROR(INDEX(Lookup!$B$2:$E$38,MATCH(A46,Lookup!$A$2:$A$38,0),C46+1),"")</f>
        <v/>
      </c>
      <c r="E46" s="8">
        <f>IF(ISNUMBER(C46),C46*1.3,0)</f>
        <v/>
      </c>
    </row>
    <row r="47">
      <c r="A47" s="4" t="inlineStr">
        <is>
          <t>4.8</t>
        </is>
      </c>
      <c r="B47" s="5" t="inlineStr">
        <is>
          <t>Long-Term Follow-Up (LTFU) Commitment</t>
        </is>
      </c>
      <c r="C47" s="6" t="n"/>
      <c r="D47" s="7">
        <f>IFERROR(INDEX(Lookup!$B$2:$E$38,MATCH(A47,Lookup!$A$2:$A$38,0),C47+1),"")</f>
        <v/>
      </c>
      <c r="E47" s="8">
        <f>IF(ISNUMBER(C47),C47*1.3,0)</f>
        <v/>
      </c>
    </row>
    <row r="48" ht="22" customHeight="1" s="85">
      <c r="A48" s="4" t="inlineStr">
        <is>
          <t>4.9</t>
        </is>
      </c>
      <c r="B48" s="5" t="inlineStr">
        <is>
          <t>Per-Participant Procedural Intensity</t>
        </is>
      </c>
      <c r="C48" s="6" t="n"/>
      <c r="D48" s="7">
        <f>IFERROR(INDEX(Lookup!$B$2:$E$38,MATCH(A48,Lookup!$A$2:$A$38,0),C48+1),"")</f>
        <v/>
      </c>
      <c r="E48" s="8">
        <f>IF(ISNUMBER(C48),C48*1.3,0)</f>
        <v/>
      </c>
    </row>
    <row r="49" ht="30" customHeight="1" s="85">
      <c r="A49" s="16" t="inlineStr">
        <is>
          <t>D4</t>
        </is>
      </c>
      <c r="B49" s="10" t="inlineStr">
        <is>
          <t>Dimension 4 Subtotal</t>
        </is>
      </c>
      <c r="C49" s="11">
        <f>SUM(C40:C48)</f>
        <v/>
      </c>
      <c r="D49" s="12">
        <f>C49&amp;" / 27 raw  (⚑ RED FLAG if &gt; 19)"</f>
        <v/>
      </c>
      <c r="E49" s="13">
        <f>SUM(E40:E48)</f>
        <v/>
      </c>
    </row>
    <row r="50" ht="30" customHeight="1" s="85"/>
    <row r="51" ht="30" customHeight="1" s="85">
      <c r="A51" s="84" t="inlineStr">
        <is>
          <t>DIMENSION 5:  PATIENT POPULATION &amp; RECRUITMENT     (weight ×1.0  |  max raw 18  |  red flag if raw &gt; 13)</t>
        </is>
      </c>
      <c r="B51" s="112" t="n"/>
      <c r="C51" s="112" t="n"/>
      <c r="D51" s="112" t="n"/>
      <c r="E51" s="113" t="n"/>
    </row>
    <row r="52" ht="30" customHeight="1" s="85">
      <c r="A52" s="4" t="inlineStr">
        <is>
          <t>5.1</t>
        </is>
      </c>
      <c r="B52" s="5" t="inlineStr">
        <is>
          <t>Target Population Accessibility</t>
        </is>
      </c>
      <c r="C52" s="6" t="n"/>
      <c r="D52" s="7">
        <f>IFERROR(INDEX(Lookup!$B$2:$E$38,MATCH(A52,Lookup!$A$2:$A$38,0),C52+1),"")</f>
        <v/>
      </c>
      <c r="E52" s="8">
        <f>IF(ISNUMBER(C52),C52*1.0,0)</f>
        <v/>
      </c>
    </row>
    <row r="53" ht="30" customHeight="1" s="85">
      <c r="A53" s="4" t="inlineStr">
        <is>
          <t>5.2</t>
        </is>
      </c>
      <c r="B53" s="5" t="inlineStr">
        <is>
          <t>Enrollment Timeline</t>
        </is>
      </c>
      <c r="C53" s="6" t="n"/>
      <c r="D53" s="7">
        <f>IFERROR(INDEX(Lookup!$B$2:$E$38,MATCH(A53,Lookup!$A$2:$A$38,0),C53+1),"")</f>
        <v/>
      </c>
      <c r="E53" s="8">
        <f>IF(ISNUMBER(C53),C53*1.0,0)</f>
        <v/>
      </c>
    </row>
    <row r="54" ht="30" customHeight="1" s="85">
      <c r="A54" s="4" t="inlineStr">
        <is>
          <t>5.3</t>
        </is>
      </c>
      <c r="B54" s="5" t="inlineStr">
        <is>
          <t>Competing Studies</t>
        </is>
      </c>
      <c r="C54" s="6" t="n"/>
      <c r="D54" s="7">
        <f>IFERROR(INDEX(Lookup!$B$2:$E$38,MATCH(A54,Lookup!$A$2:$A$38,0),C54+1),"")</f>
        <v/>
      </c>
      <c r="E54" s="8">
        <f>IF(ISNUMBER(C54),C54*1.0,0)</f>
        <v/>
      </c>
    </row>
    <row r="55" ht="20" customHeight="1" s="85">
      <c r="A55" s="4" t="inlineStr">
        <is>
          <t>5.4</t>
        </is>
      </c>
      <c r="B55" s="5" t="inlineStr">
        <is>
          <t>Patient Burden</t>
        </is>
      </c>
      <c r="C55" s="6" t="n"/>
      <c r="D55" s="7">
        <f>IFERROR(INDEX(Lookup!$B$2:$E$38,MATCH(A55,Lookup!$A$2:$A$38,0),C55+1),"")</f>
        <v/>
      </c>
      <c r="E55" s="8">
        <f>IF(ISNUMBER(C55),C55*1.0,0)</f>
        <v/>
      </c>
    </row>
    <row r="56">
      <c r="A56" s="4" t="inlineStr">
        <is>
          <t>5.5</t>
        </is>
      </c>
      <c r="B56" s="5" t="inlineStr">
        <is>
          <t>Retention Challenges</t>
        </is>
      </c>
      <c r="C56" s="6" t="n"/>
      <c r="D56" s="7">
        <f>IFERROR(INDEX(Lookup!$B$2:$E$38,MATCH(A56,Lookup!$A$2:$A$38,0),C56+1),"")</f>
        <v/>
      </c>
      <c r="E56" s="8">
        <f>IF(ISNUMBER(C56),C56*1.0,0)</f>
        <v/>
      </c>
    </row>
    <row r="57">
      <c r="A57" s="4" t="inlineStr">
        <is>
          <t>5.6</t>
        </is>
      </c>
      <c r="B57" s="5" t="inlineStr">
        <is>
          <t>Recruitment Strategy Feasibility</t>
        </is>
      </c>
      <c r="C57" s="6" t="n"/>
      <c r="D57" s="7">
        <f>IFERROR(INDEX(Lookup!$B$2:$E$38,MATCH(A57,Lookup!$A$2:$A$38,0),C57+1),"")</f>
        <v/>
      </c>
      <c r="E57" s="8">
        <f>IF(ISNUMBER(C57),C57*1.0,0)</f>
        <v/>
      </c>
    </row>
    <row r="58" ht="22" customHeight="1" s="85">
      <c r="A58" s="17" t="inlineStr">
        <is>
          <t>D5</t>
        </is>
      </c>
      <c r="C58">
        <f>SUM(C52:C57)</f>
        <v/>
      </c>
      <c r="D58">
        <f>C58&amp;" / 18 raw  (⚑ RED FLAG if &gt; 13)"</f>
        <v/>
      </c>
      <c r="E58">
        <f>SUM(E52:E57)</f>
        <v/>
      </c>
    </row>
    <row r="59" ht="22" customHeight="1" s="85"/>
    <row r="60" ht="22" customHeight="1" s="85"/>
    <row r="61" ht="22" customHeight="1" s="85">
      <c r="A61" s="98" t="inlineStr">
        <is>
          <t>OVERALL RESULTS</t>
        </is>
      </c>
      <c r="B61" s="114" t="n"/>
      <c r="C61" s="114" t="n"/>
      <c r="D61" s="114" t="n"/>
      <c r="E61" s="115" t="n"/>
    </row>
    <row r="62" ht="28" customHeight="1" s="85">
      <c r="A62" s="18" t="n"/>
      <c r="B62" s="19" t="inlineStr">
        <is>
          <t>Overall Score (0–100):</t>
        </is>
      </c>
      <c r="C62" s="20">
        <f>ROUND((E16+E28+E37+E49+E58)/136.8*100,0)</f>
        <v/>
      </c>
      <c r="D62" s="116" t="inlineStr">
        <is>
          <t>0–40 Low  |  41–65 Medium  |  66–100 High</t>
        </is>
      </c>
      <c r="E62" s="86" t="n"/>
    </row>
    <row r="63" ht="22" customHeight="1" s="85">
      <c r="A63" s="18" t="n"/>
      <c r="B63" s="19" t="inlineStr">
        <is>
          <t>Complexity Band:</t>
        </is>
      </c>
      <c r="C63" s="21">
        <f>IF(C62&lt;=40,"LOW",IF(C62&lt;=65,"MEDIUM","HIGH"))</f>
        <v/>
      </c>
      <c r="D63" s="116" t="inlineStr">
        <is>
          <t>Low = manageable  |  Medium = requires planning  |  High = significant risk</t>
        </is>
      </c>
      <c r="E63" s="86" t="n"/>
    </row>
    <row r="64">
      <c r="A64" s="22" t="n"/>
      <c r="B64" s="23" t="inlineStr">
        <is>
          <t>Dim 5 Raw Score (0–18):</t>
        </is>
      </c>
      <c r="C64" s="24">
        <f>C58</f>
        <v/>
      </c>
      <c r="D64" s="117" t="inlineStr">
        <is>
          <t>Patient Population dimension — drives recruitment risk tier</t>
        </is>
      </c>
      <c r="E64" s="86" t="n"/>
    </row>
    <row r="65" ht="20" customHeight="1" s="85">
      <c r="A65" s="25" t="n"/>
      <c r="C65">
        <f>IF(C62="","—",IF(C62&lt;=40,IF(C64&lt;=6,"GO",IF(C64&lt;=12,"GO with Monitoring","CONDITIONAL GO")),IF(C62&lt;=65,IF(C64&lt;=6,"GO with Planning",IF(C64&lt;=12,"CONDITIONAL GO","NO-GO")),IF(C64&lt;=6,"CONDITIONAL GO","NO-GO"))))</f>
        <v/>
      </c>
    </row>
    <row r="66" ht="18" customHeight="1" s="85">
      <c r="A66" s="28" t="n"/>
      <c r="B66" s="29" t="inlineStr">
        <is>
          <t>Rationale:</t>
        </is>
      </c>
      <c r="C66" s="30">
        <f>IF(C65="—","",IF(C65="GO","Standard activation — proceed with normal planning",IF(C65="GO with Monitoring","Proceed with enhanced recruitment planning",IF(C65="GO with Planning","Resource allocation and risk mitigation plan required",IF(C65="NO-GO","Decline — risk profile exceeds site capacity","Adequate resources and strategy must be confirmed before proceeding")))))</f>
        <v/>
      </c>
      <c r="D66" s="86" t="n"/>
      <c r="E66" s="86" t="n"/>
    </row>
    <row r="67" ht="18" customHeight="1" s="85"/>
    <row r="68" ht="18" customHeight="1" s="85">
      <c r="A68" s="89" t="inlineStr">
        <is>
          <t>DIMENSION RED FLAGS</t>
        </is>
      </c>
      <c r="B68" s="114" t="n"/>
      <c r="C68" s="114" t="n"/>
      <c r="D68" s="114" t="n"/>
      <c r="E68" s="115" t="n"/>
    </row>
    <row r="69" ht="18" customHeight="1" s="85">
      <c r="A69" s="31" t="inlineStr">
        <is>
          <t>D1</t>
        </is>
      </c>
      <c r="B69" s="81" t="inlineStr">
        <is>
          <t>Protocol Design &amp; Study Complexity</t>
        </is>
      </c>
      <c r="C69" s="33">
        <f>C16</f>
        <v/>
      </c>
      <c r="D69" s="118">
        <f>IF(C16&gt;15,"⚑  RED FLAG — raw score "&amp;C16&amp;" exceeds threshold 15","✓  OK — raw score "&amp;C16&amp;" / 21")</f>
        <v/>
      </c>
      <c r="E69" s="86" t="n"/>
    </row>
    <row r="70" ht="18" customHeight="1" s="85">
      <c r="A70" s="34" t="inlineStr">
        <is>
          <t>D2</t>
        </is>
      </c>
      <c r="B70" s="81" t="inlineStr">
        <is>
          <t>Operational Execution &amp; Site Burden</t>
        </is>
      </c>
      <c r="C70" s="33">
        <f>C28</f>
        <v/>
      </c>
      <c r="D70" s="118">
        <f>IF(C27&gt;17,"⚑  RED FLAG — raw score "&amp;C27&amp;" exceeds threshold 17","✓  OK — raw score "&amp;C27&amp;" / 24")</f>
        <v/>
      </c>
      <c r="E70" s="86" t="n"/>
    </row>
    <row r="71">
      <c r="A71" s="35" t="inlineStr">
        <is>
          <t>D3</t>
        </is>
      </c>
      <c r="B71" s="81" t="inlineStr">
        <is>
          <t>Regulatory &amp; Oversight Requirements</t>
        </is>
      </c>
      <c r="C71" s="33">
        <f>C37</f>
        <v/>
      </c>
      <c r="D71" s="118">
        <f>IF(C36&gt;13,"⚑  RED FLAG — raw score "&amp;C36&amp;" exceeds threshold 13","✓  OK — raw score "&amp;C36&amp;" / 18")</f>
        <v/>
      </c>
      <c r="E71" s="86" t="n"/>
    </row>
    <row r="72">
      <c r="A72" s="36" t="inlineStr">
        <is>
          <t>D4</t>
        </is>
      </c>
      <c r="B72" s="81" t="inlineStr">
        <is>
          <t>Resource &amp; Workforce Capacity</t>
        </is>
      </c>
      <c r="C72" s="33">
        <f>C49</f>
        <v/>
      </c>
      <c r="D72" s="118">
        <f>IF(C46&gt;15,"⚑  RED FLAG — raw score "&amp;C46&amp;" exceeds threshold 15","✓  OK — raw score "&amp;C46&amp;" / 21")</f>
        <v/>
      </c>
      <c r="E72" s="86" t="n"/>
    </row>
    <row r="73">
      <c r="A73" s="37" t="inlineStr">
        <is>
          <t>D5</t>
        </is>
      </c>
      <c r="B73" s="81" t="inlineStr">
        <is>
          <t>Patient Population &amp; Recruitment</t>
        </is>
      </c>
      <c r="C73" s="33">
        <f>C58</f>
        <v/>
      </c>
      <c r="D73" s="118">
        <f>IF(C55&gt;13,"⚑  RED FLAG — raw score "&amp;C55&amp;" exceeds threshold 13","✓  OK — raw score "&amp;C55&amp;" / 18")</f>
        <v/>
      </c>
      <c r="E73" s="86" t="n"/>
    </row>
  </sheetData>
  <mergeCells count="23">
    <mergeCell ref="D69:E69"/>
    <mergeCell ref="A30:E30"/>
    <mergeCell ref="A39:E39"/>
    <mergeCell ref="D63:E63"/>
    <mergeCell ref="B6:E6"/>
    <mergeCell ref="A51:E51"/>
    <mergeCell ref="A1:E1"/>
    <mergeCell ref="B5:E5"/>
    <mergeCell ref="A61:E61"/>
    <mergeCell ref="D65:E65"/>
    <mergeCell ref="B4:E4"/>
    <mergeCell ref="B3:E3"/>
    <mergeCell ref="D70:E70"/>
    <mergeCell ref="D66:E66"/>
    <mergeCell ref="A18:E18"/>
    <mergeCell ref="D72:E72"/>
    <mergeCell ref="A2:E2"/>
    <mergeCell ref="D62:E62"/>
    <mergeCell ref="A8:E8"/>
    <mergeCell ref="D71:E71"/>
    <mergeCell ref="D64:E64"/>
    <mergeCell ref="D73:E73"/>
    <mergeCell ref="A68:E68"/>
  </mergeCells>
  <conditionalFormatting sqref="C9:C15">
    <cfRule type="cellIs" priority="35" operator="equal" dxfId="4">
      <formula>1</formula>
    </cfRule>
    <cfRule type="cellIs" priority="69" operator="equal" dxfId="5">
      <formula>2</formula>
    </cfRule>
    <cfRule type="cellIs" priority="103" operator="equal" dxfId="6">
      <formula>3</formula>
    </cfRule>
    <cfRule type="cellIs" priority="1" operator="equal" dxfId="3">
      <formula>0</formula>
    </cfRule>
  </conditionalFormatting>
  <conditionalFormatting sqref="C19:C26">
    <cfRule type="cellIs" priority="110" operator="equal" dxfId="3">
      <formula>0</formula>
    </cfRule>
    <cfRule type="cellIs" priority="110" operator="equal" dxfId="6">
      <formula>3</formula>
    </cfRule>
    <cfRule type="cellIs" priority="110" operator="equal" dxfId="5">
      <formula>2</formula>
    </cfRule>
    <cfRule type="cellIs" priority="110" operator="equal" dxfId="4">
      <formula>1</formula>
    </cfRule>
  </conditionalFormatting>
  <conditionalFormatting sqref="C30:C35">
    <cfRule type="cellIs" priority="118" operator="equal" dxfId="6">
      <formula>3</formula>
    </cfRule>
    <cfRule type="cellIs" priority="118" operator="equal" dxfId="5">
      <formula>2</formula>
    </cfRule>
    <cfRule type="cellIs" priority="118" operator="equal" dxfId="4">
      <formula>1</formula>
    </cfRule>
    <cfRule type="cellIs" priority="118" operator="equal" dxfId="3">
      <formula>0</formula>
    </cfRule>
  </conditionalFormatting>
  <conditionalFormatting sqref="C39:C45">
    <cfRule type="cellIs" priority="124" operator="equal" dxfId="6">
      <formula>3</formula>
    </cfRule>
    <cfRule type="cellIs" priority="124" operator="equal" dxfId="5">
      <formula>2</formula>
    </cfRule>
    <cfRule type="cellIs" priority="124" operator="equal" dxfId="4">
      <formula>1</formula>
    </cfRule>
    <cfRule type="cellIs" priority="124" operator="equal" dxfId="3">
      <formula>0</formula>
    </cfRule>
  </conditionalFormatting>
  <conditionalFormatting sqref="C49:C54">
    <cfRule type="cellIs" priority="131" operator="equal" dxfId="6">
      <formula>3</formula>
    </cfRule>
    <cfRule type="cellIs" priority="131" operator="equal" dxfId="5">
      <formula>2</formula>
    </cfRule>
    <cfRule type="cellIs" priority="131" operator="equal" dxfId="4">
      <formula>1</formula>
    </cfRule>
    <cfRule type="cellIs" priority="131" operator="equal" dxfId="3">
      <formula>0</formula>
    </cfRule>
  </conditionalFormatting>
  <conditionalFormatting sqref="C62">
    <cfRule type="expression" priority="139" dxfId="2">
      <formula>C62="CONDITIONAL GO"</formula>
    </cfRule>
    <cfRule type="expression" priority="138" dxfId="1">
      <formula>C62="NO-GO"</formula>
    </cfRule>
    <cfRule type="expression" priority="137" dxfId="0">
      <formula>C62="GO"</formula>
    </cfRule>
  </conditionalFormatting>
  <dataValidations count="1">
    <dataValidation sqref="C1:C200" showDropDown="0" showInputMessage="0" showErrorMessage="1" allowBlank="0" errorTitle="Invalid Score" error="Enter 0, 1, 2, or 3" type="list">
      <formula1>"0,1,2,3"</formula1>
    </dataValidation>
  </dataValidations>
  <pageMargins left="0.75" right="0.75" top="1" bottom="1" header="0.5" footer="0.5"/>
  <headerFooter>
    <oddHeader/>
    <oddFooter>&amp;L&amp;"Aptos"&amp;10 &amp;K000000_x000d_# St. Jude -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10" defaultColWidth="8.83203125" defaultRowHeight="15"/>
  <cols>
    <col width="3" customWidth="1" style="85" min="1" max="1"/>
    <col width="22" customWidth="1" style="85" min="2" max="2"/>
    <col width="16" customWidth="1" style="85" min="3" max="6"/>
    <col width="14" customWidth="1" style="85" min="7" max="7"/>
  </cols>
  <sheetData>
    <row r="1" ht="36" customHeight="1" s="85">
      <c r="A1" s="88" t="inlineStr">
        <is>
          <t>ASSESSMENT DASHBOARD</t>
        </is>
      </c>
    </row>
    <row r="2" ht="16" customHeight="1" s="85">
      <c r="A2" s="92" t="inlineStr">
        <is>
          <t>Clinical Trial Complexity Assessment  —  Go / No-Go Decision Support</t>
        </is>
      </c>
    </row>
    <row r="4" ht="20" customHeight="1" s="85">
      <c r="A4" s="100" t="inlineStr">
        <is>
          <t>OVERALL SCORE SUMMARY</t>
        </is>
      </c>
    </row>
    <row r="5" ht="18" customHeight="1" s="85">
      <c r="B5" s="105" t="inlineStr">
        <is>
          <t>Overall Score</t>
        </is>
      </c>
      <c r="D5" s="105" t="inlineStr">
        <is>
          <t>Complexity Band</t>
        </is>
      </c>
      <c r="F5" s="105" t="inlineStr">
        <is>
          <t>Decision</t>
        </is>
      </c>
    </row>
    <row r="6" ht="40" customHeight="1" s="85">
      <c r="B6" s="110">
        <f>Assessment!C62</f>
        <v/>
      </c>
      <c r="C6" s="119" t="n"/>
      <c r="D6" s="103">
        <f>Assessment!C63</f>
        <v/>
      </c>
      <c r="E6" s="119" t="n"/>
      <c r="F6" s="101">
        <f>Assessment!C65</f>
        <v/>
      </c>
      <c r="G6" s="119" t="n"/>
    </row>
    <row r="7" ht="20" customHeight="1" s="85">
      <c r="B7" s="109">
        <f>Assessment!C66</f>
        <v/>
      </c>
    </row>
    <row r="8" ht="10" customHeight="1" s="85"/>
    <row r="9" ht="20" customHeight="1" s="85">
      <c r="A9" s="100" t="inlineStr">
        <is>
          <t>DIMENSION SCORES</t>
        </is>
      </c>
    </row>
    <row r="10" ht="18" customHeight="1" s="85">
      <c r="B10" s="38" t="inlineStr">
        <is>
          <t>Dimension</t>
        </is>
      </c>
      <c r="C10" s="38" t="inlineStr">
        <is>
          <t>Raw Score</t>
        </is>
      </c>
      <c r="D10" s="38" t="inlineStr">
        <is>
          <t>Max Raw</t>
        </is>
      </c>
      <c r="E10" s="38" t="inlineStr">
        <is>
          <t>% Score</t>
        </is>
      </c>
      <c r="F10" s="38" t="inlineStr">
        <is>
          <t>Wt. Score</t>
        </is>
      </c>
      <c r="G10" s="38" t="inlineStr">
        <is>
          <t>Red Flag?</t>
        </is>
      </c>
    </row>
    <row r="11" ht="20" customHeight="1" s="85">
      <c r="A11" s="39" t="n"/>
      <c r="B11" s="40" t="inlineStr">
        <is>
          <t>Dim 1: Protocol Design &amp; Study Complexity</t>
        </is>
      </c>
      <c r="C11" s="41">
        <f>Assessment!C16</f>
        <v/>
      </c>
      <c r="D11" s="42" t="n">
        <v>21</v>
      </c>
      <c r="E11" s="43">
        <f>IFERROR(ROUND(C11/D11*100,0),0)</f>
        <v/>
      </c>
      <c r="F11" s="44">
        <f>Assessment!E16</f>
        <v/>
      </c>
      <c r="G11" s="45">
        <f>IF(Assessment!C16&gt;15,"⚑ FLAG","✓ OK")</f>
        <v/>
      </c>
    </row>
    <row r="12" ht="20" customHeight="1" s="85">
      <c r="A12" s="46" t="n"/>
      <c r="B12" s="47" t="inlineStr">
        <is>
          <t>Dim 2: Operational Execution &amp; Site Burden</t>
        </is>
      </c>
      <c r="C12" s="48">
        <f>Assessment!C28</f>
        <v/>
      </c>
      <c r="D12" s="49" t="n">
        <v>27</v>
      </c>
      <c r="E12" s="50">
        <f>IFERROR(ROUND(C12/D12*100,0),0)</f>
        <v/>
      </c>
      <c r="F12" s="51">
        <f>Assessment!E28</f>
        <v/>
      </c>
      <c r="G12" s="52">
        <f>IF(Assessment!C28&gt;19,"⚑ FLAG","✓ OK")</f>
        <v/>
      </c>
    </row>
    <row r="13" ht="20" customHeight="1" s="85">
      <c r="A13" s="53" t="n"/>
      <c r="B13" s="54" t="inlineStr">
        <is>
          <t>Dim 3: Regulatory &amp; Oversight Requirements</t>
        </is>
      </c>
      <c r="C13" s="55">
        <f>Assessment!C37</f>
        <v/>
      </c>
      <c r="D13" s="56" t="n">
        <v>18</v>
      </c>
      <c r="E13" s="57">
        <f>IFERROR(ROUND(C13/D13*100,0),0)</f>
        <v/>
      </c>
      <c r="F13" s="58">
        <f>Assessment!E37</f>
        <v/>
      </c>
      <c r="G13" s="59">
        <f>IF(Assessment!C37&gt;13,"⚑ FLAG","✓ OK")</f>
        <v/>
      </c>
    </row>
    <row r="14" ht="20" customHeight="1" s="85">
      <c r="A14" s="60" t="n"/>
      <c r="B14" s="61" t="inlineStr">
        <is>
          <t>Dim 4: Resource &amp; Workforce Capacity</t>
        </is>
      </c>
      <c r="C14" s="62">
        <f>Assessment!C49</f>
        <v/>
      </c>
      <c r="D14" s="63" t="n">
        <v>27</v>
      </c>
      <c r="E14" s="64">
        <f>IFERROR(ROUND(C14/D14*100,0),0)</f>
        <v/>
      </c>
      <c r="F14" s="65">
        <f>Assessment!E49</f>
        <v/>
      </c>
      <c r="G14" s="66">
        <f>IF(Assessment!C49&gt;19,"⚑ FLAG","✓ OK")</f>
        <v/>
      </c>
    </row>
    <row r="15" ht="20" customHeight="1" s="85">
      <c r="A15" s="67" t="n"/>
      <c r="B15" s="68" t="inlineStr">
        <is>
          <t>Dim 5: Patient Population &amp; Recruitment</t>
        </is>
      </c>
      <c r="C15" s="69">
        <f>Assessment!C58</f>
        <v/>
      </c>
      <c r="D15" s="70" t="n">
        <v>18</v>
      </c>
      <c r="E15" s="71">
        <f>IFERROR(ROUND(C15/D15*100,0),0)</f>
        <v/>
      </c>
      <c r="F15" s="72">
        <f>Assessment!E58</f>
        <v/>
      </c>
      <c r="G15" s="73">
        <f>IF(Assessment!C58&gt;13,"⚑ FLAG","✓ OK")</f>
        <v/>
      </c>
    </row>
    <row r="34" ht="20" customHeight="1" s="85">
      <c r="A34" s="106" t="inlineStr">
        <is>
          <t>DECISION MATRIX</t>
        </is>
      </c>
    </row>
    <row r="35" ht="78" customHeight="1" s="85">
      <c r="A35" s="104" t="inlineStr">
        <is>
          <t>Overall Score</t>
        </is>
      </c>
      <c r="B35" s="104" t="inlineStr">
        <is>
          <t>Dim 5 Raw</t>
        </is>
      </c>
      <c r="C35" s="104" t="inlineStr">
        <is>
          <t>Decision</t>
        </is>
      </c>
      <c r="D35" s="104" t="inlineStr">
        <is>
          <t>Rationale</t>
        </is>
      </c>
    </row>
    <row r="36" ht="20" customHeight="1" s="85">
      <c r="A36" s="75" t="inlineStr">
        <is>
          <t>0–40</t>
        </is>
      </c>
      <c r="B36" s="75" t="inlineStr">
        <is>
          <t>0–6</t>
        </is>
      </c>
      <c r="C36" s="76" t="inlineStr">
        <is>
          <t>GO</t>
        </is>
      </c>
      <c r="D36" s="120" t="inlineStr">
        <is>
          <t>Standard activation — proceed with normal planning</t>
        </is>
      </c>
      <c r="E36" s="86" t="n"/>
      <c r="F36" s="86" t="n"/>
      <c r="G36" s="86" t="n"/>
    </row>
    <row r="37" ht="20" customHeight="1" s="85">
      <c r="A37" s="75" t="inlineStr">
        <is>
          <t>0–40</t>
        </is>
      </c>
      <c r="B37" s="75" t="inlineStr">
        <is>
          <t>7–12</t>
        </is>
      </c>
      <c r="C37" s="77" t="inlineStr">
        <is>
          <t>GO with Monitoring</t>
        </is>
      </c>
      <c r="D37" s="121" t="inlineStr">
        <is>
          <t>Proceed with enhanced recruitment planning</t>
        </is>
      </c>
      <c r="E37" s="86" t="n"/>
      <c r="F37" s="86" t="n"/>
      <c r="G37" s="86" t="n"/>
    </row>
    <row r="38" ht="20" customHeight="1" s="85">
      <c r="A38" s="75" t="inlineStr">
        <is>
          <t>0–40</t>
        </is>
      </c>
      <c r="B38" s="75" t="inlineStr">
        <is>
          <t>13–18</t>
        </is>
      </c>
      <c r="C38" s="78" t="inlineStr">
        <is>
          <t>CONDITIONAL GO</t>
        </is>
      </c>
      <c r="D38" s="122" t="inlineStr">
        <is>
          <t>Robust recruitment mitigation plan required</t>
        </is>
      </c>
      <c r="E38" s="86" t="n"/>
      <c r="F38" s="86" t="n"/>
      <c r="G38" s="86" t="n"/>
    </row>
    <row r="39" ht="20" customHeight="1" s="85">
      <c r="A39" s="75" t="inlineStr">
        <is>
          <t>41–65</t>
        </is>
      </c>
      <c r="B39" s="75" t="inlineStr">
        <is>
          <t>0–6</t>
        </is>
      </c>
      <c r="C39" s="77" t="inlineStr">
        <is>
          <t>GO with Planning</t>
        </is>
      </c>
      <c r="D39" s="121" t="inlineStr">
        <is>
          <t>Resource allocation and risk mitigation plan required</t>
        </is>
      </c>
      <c r="E39" s="86" t="n"/>
      <c r="F39" s="86" t="n"/>
      <c r="G39" s="86" t="n"/>
    </row>
    <row r="40" ht="20" customHeight="1" s="85">
      <c r="A40" s="75" t="inlineStr">
        <is>
          <t>41–65</t>
        </is>
      </c>
      <c r="B40" s="75" t="inlineStr">
        <is>
          <t>7–12</t>
        </is>
      </c>
      <c r="C40" s="78" t="inlineStr">
        <is>
          <t>CONDITIONAL GO</t>
        </is>
      </c>
      <c r="D40" s="122" t="inlineStr">
        <is>
          <t>Adequate resources and strategy must be confirmed</t>
        </is>
      </c>
      <c r="E40" s="86" t="n"/>
      <c r="F40" s="86" t="n"/>
      <c r="G40" s="86" t="n"/>
    </row>
    <row r="41" ht="20" customHeight="1" s="85">
      <c r="A41" s="75" t="inlineStr">
        <is>
          <t>41–65</t>
        </is>
      </c>
      <c r="B41" s="75" t="inlineStr">
        <is>
          <t>13–18</t>
        </is>
      </c>
      <c r="C41" s="79" t="inlineStr">
        <is>
          <t>NO-GO</t>
        </is>
      </c>
      <c r="D41" s="123" t="inlineStr">
        <is>
          <t>Decline unless exceptional strategic value exists</t>
        </is>
      </c>
      <c r="E41" s="86" t="n"/>
      <c r="F41" s="86" t="n"/>
      <c r="G41" s="86" t="n"/>
    </row>
    <row r="42" ht="20" customHeight="1" s="85">
      <c r="A42" s="75" t="inlineStr">
        <is>
          <t>66–100</t>
        </is>
      </c>
      <c r="B42" s="75" t="inlineStr">
        <is>
          <t>0–6</t>
        </is>
      </c>
      <c r="C42" s="78" t="inlineStr">
        <is>
          <t>CONDITIONAL GO</t>
        </is>
      </c>
      <c r="D42" s="122" t="inlineStr">
        <is>
          <t>Exceptional justification and comprehensive plan required</t>
        </is>
      </c>
      <c r="E42" s="86" t="n"/>
      <c r="F42" s="86" t="n"/>
      <c r="G42" s="86" t="n"/>
    </row>
    <row r="43" ht="20" customHeight="1" s="85">
      <c r="A43" s="75" t="inlineStr">
        <is>
          <t>66–100</t>
        </is>
      </c>
      <c r="B43" s="75" t="inlineStr">
        <is>
          <t>7–12</t>
        </is>
      </c>
      <c r="C43" s="79" t="inlineStr">
        <is>
          <t>NO-GO</t>
        </is>
      </c>
      <c r="D43" s="123" t="inlineStr">
        <is>
          <t>Decline unless transformational strategic opportunity</t>
        </is>
      </c>
      <c r="E43" s="86" t="n"/>
      <c r="F43" s="86" t="n"/>
      <c r="G43" s="86" t="n"/>
    </row>
    <row r="44" ht="20" customHeight="1" s="85">
      <c r="A44" s="75" t="inlineStr">
        <is>
          <t>66–100</t>
        </is>
      </c>
      <c r="B44" s="75" t="inlineStr">
        <is>
          <t>13–18</t>
        </is>
      </c>
      <c r="C44" s="79" t="inlineStr">
        <is>
          <t>NO-GO</t>
        </is>
      </c>
      <c r="D44" s="123" t="inlineStr">
        <is>
          <t>Decline — risk of failure is too high</t>
        </is>
      </c>
      <c r="E44" s="86" t="n"/>
      <c r="F44" s="86" t="n"/>
      <c r="G44" s="86" t="n"/>
    </row>
  </sheetData>
  <mergeCells count="22">
    <mergeCell ref="D39:G39"/>
    <mergeCell ref="A4:G4"/>
    <mergeCell ref="F6:G6"/>
    <mergeCell ref="D42:G42"/>
    <mergeCell ref="D38:G38"/>
    <mergeCell ref="D6:E6"/>
    <mergeCell ref="A9:G9"/>
    <mergeCell ref="D35:G35"/>
    <mergeCell ref="D44:G44"/>
    <mergeCell ref="F5:G5"/>
    <mergeCell ref="A34:G34"/>
    <mergeCell ref="D40:G40"/>
    <mergeCell ref="A1:G1"/>
    <mergeCell ref="D36:G36"/>
    <mergeCell ref="B7:G7"/>
    <mergeCell ref="B6:C6"/>
    <mergeCell ref="D41:G41"/>
    <mergeCell ref="B5:C5"/>
    <mergeCell ref="D5:E5"/>
    <mergeCell ref="A2:G2"/>
    <mergeCell ref="D43:G43"/>
    <mergeCell ref="D37:G37"/>
  </mergeCells>
  <pageMargins left="0.75" right="0.75" top="1" bottom="1" header="0.5" footer="0.5"/>
  <headerFooter>
    <oddHeader/>
    <oddFooter>&amp;L&amp;"Aptos"&amp;10 &amp;K000000_x000d_# St. Jude - Confidential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10" defaultColWidth="8.83203125" defaultRowHeight="15"/>
  <cols>
    <col width="8" customWidth="1" style="85" min="1" max="1"/>
    <col width="42" customWidth="1" style="85" min="2" max="5"/>
  </cols>
  <sheetData>
    <row r="1">
      <c r="A1" s="80" t="inlineStr">
        <is>
          <t>Item ID</t>
        </is>
      </c>
      <c r="B1" s="80" t="inlineStr">
        <is>
          <t>Score 0 (Low)</t>
        </is>
      </c>
      <c r="C1" s="80" t="inlineStr">
        <is>
          <t>Score 1</t>
        </is>
      </c>
      <c r="D1" s="80" t="inlineStr">
        <is>
          <t>Score 2</t>
        </is>
      </c>
      <c r="E1" s="80" t="inlineStr">
        <is>
          <t>Score 3 (High)</t>
        </is>
      </c>
    </row>
    <row r="2">
      <c r="A2" t="inlineStr">
        <is>
          <t>1.1</t>
        </is>
      </c>
      <c r="B2" t="inlineStr">
        <is>
          <t>Phase IV / Observational</t>
        </is>
      </c>
      <c r="C2" t="inlineStr">
        <is>
          <t>Phase III</t>
        </is>
      </c>
      <c r="D2" t="inlineStr">
        <is>
          <t>Phase II</t>
        </is>
      </c>
      <c r="E2" t="inlineStr">
        <is>
          <t>Phase I / First-in-Human</t>
        </is>
      </c>
    </row>
    <row r="3">
      <c r="A3" t="inlineStr">
        <is>
          <t>1.2</t>
        </is>
      </c>
      <c r="B3" t="inlineStr">
        <is>
          <t>Simple parallel / observational</t>
        </is>
      </c>
      <c r="C3" t="inlineStr">
        <is>
          <t>Crossover / factorial</t>
        </is>
      </c>
      <c r="D3" t="inlineStr">
        <is>
          <t>Adaptive randomization / dose-finding</t>
        </is>
      </c>
      <c r="E3" t="inlineStr">
        <is>
          <t>Complex adaptive with multiple decision points</t>
        </is>
      </c>
    </row>
    <row r="4">
      <c r="A4" t="inlineStr">
        <is>
          <t>1.3</t>
        </is>
      </c>
      <c r="B4" t="inlineStr">
        <is>
          <t>Single / observational</t>
        </is>
      </c>
      <c r="C4" t="inlineStr">
        <is>
          <t>Two arms</t>
        </is>
      </c>
      <c r="D4" t="inlineStr">
        <is>
          <t>Three arms</t>
        </is>
      </c>
      <c r="E4" t="inlineStr">
        <is>
          <t>Four or more arms</t>
        </is>
      </c>
    </row>
    <row r="5">
      <c r="A5" t="inlineStr">
        <is>
          <t>1.4</t>
        </is>
      </c>
      <c r="B5" t="inlineStr">
        <is>
          <t>Broad (≤10 criteria)</t>
        </is>
      </c>
      <c r="C5" t="inlineStr">
        <is>
          <t>Moderate (11–20 criteria)</t>
        </is>
      </c>
      <c r="D5" t="inlineStr">
        <is>
          <t>Restrictive (21–30 criteria)</t>
        </is>
      </c>
      <c r="E5" t="inlineStr">
        <is>
          <t>Highly restrictive (&gt;30 or specialized testing required)</t>
        </is>
      </c>
    </row>
    <row r="6">
      <c r="A6" t="inlineStr">
        <is>
          <t>1.5</t>
        </is>
      </c>
      <c r="B6" t="inlineStr">
        <is>
          <t>None required</t>
        </is>
      </c>
      <c r="C6" t="inlineStr">
        <is>
          <t>Standard routine laboratory</t>
        </is>
      </c>
      <c r="D6" t="inlineStr">
        <is>
          <t>Specialized send-out testing</t>
        </is>
      </c>
      <c r="E6" t="inlineStr">
        <is>
          <t>Multiple specialized / novel assays</t>
        </is>
      </c>
    </row>
    <row r="7">
      <c r="A7" t="inlineStr">
        <is>
          <t>1.6</t>
        </is>
      </c>
      <c r="B7" t="inlineStr">
        <is>
          <t>Simple clinical or survival endpoint</t>
        </is>
      </c>
      <c r="C7" t="inlineStr">
        <is>
          <t>Patient-reported outcome (PRO) / QoL</t>
        </is>
      </c>
      <c r="D7" t="inlineStr">
        <is>
          <t>Composite or imaging endpoint</t>
        </is>
      </c>
      <c r="E7" t="inlineStr">
        <is>
          <t>Novel endpoint / central adjudication required</t>
        </is>
      </c>
    </row>
    <row r="8">
      <c r="A8" t="inlineStr">
        <is>
          <t>1.7</t>
        </is>
      </c>
      <c r="B8" t="inlineStr">
        <is>
          <t>Stable — no amendments anticipated</t>
        </is>
      </c>
      <c r="C8" t="inlineStr">
        <is>
          <t>1–2 minor amendments</t>
        </is>
      </c>
      <c r="D8" t="inlineStr">
        <is>
          <t>3–4 moderate amendments</t>
        </is>
      </c>
      <c r="E8" t="inlineStr">
        <is>
          <t>&gt;4 amendments or major design changes</t>
        </is>
      </c>
    </row>
    <row r="9">
      <c r="A9" t="inlineStr">
        <is>
          <t>2.1</t>
        </is>
      </c>
      <c r="B9" t="inlineStr">
        <is>
          <t>≤5 visits</t>
        </is>
      </c>
      <c r="C9" t="inlineStr">
        <is>
          <t>6–10 visits</t>
        </is>
      </c>
      <c r="D9" t="inlineStr">
        <is>
          <t>11–20 visits</t>
        </is>
      </c>
      <c r="E9" t="inlineStr">
        <is>
          <t>&gt;20 visits</t>
        </is>
      </c>
    </row>
    <row r="10">
      <c r="A10" t="inlineStr">
        <is>
          <t>2.2</t>
        </is>
      </c>
      <c r="B10" t="inlineStr">
        <is>
          <t>&lt;1 hour — routine visit</t>
        </is>
      </c>
      <c r="C10" t="inlineStr">
        <is>
          <t>1–2 hours — standard procedures</t>
        </is>
      </c>
      <c r="D10" t="inlineStr">
        <is>
          <t>2–4 hours — multiple procedures</t>
        </is>
      </c>
      <c r="E10" t="inlineStr">
        <is>
          <t>&gt;4 hours — complex / inpatient</t>
        </is>
      </c>
    </row>
    <row r="11">
      <c r="A11" t="inlineStr">
        <is>
          <t>2.3</t>
        </is>
      </c>
      <c r="B11" t="inlineStr">
        <is>
          <t>Routine vitals and labs</t>
        </is>
      </c>
      <c r="C11" t="inlineStr">
        <is>
          <t>Standard imaging or functional tests</t>
        </is>
      </c>
      <c r="D11" t="inlineStr">
        <is>
          <t>Specialized procedures (PK, imaging)</t>
        </is>
      </c>
      <c r="E11" t="inlineStr">
        <is>
          <t>Multiple specialized / invasive procedures</t>
        </is>
      </c>
    </row>
    <row r="12">
      <c r="A12" t="inlineStr">
        <is>
          <t>2.4</t>
        </is>
      </c>
      <c r="B12" t="inlineStr">
        <is>
          <t>Simple eCRF — minimal fields</t>
        </is>
      </c>
      <c r="C12" t="inlineStr">
        <is>
          <t>Standard eCRF — moderate fields</t>
        </is>
      </c>
      <c r="D12" t="inlineStr">
        <is>
          <t>Complex eCRF — extensive data points</t>
        </is>
      </c>
      <c r="E12" t="inlineStr">
        <is>
          <t>Multiple systems / real-time / PRO support required</t>
        </is>
      </c>
    </row>
    <row r="13">
      <c r="A13" t="inlineStr">
        <is>
          <t>2.5</t>
        </is>
      </c>
      <c r="B13" t="inlineStr">
        <is>
          <t>Remote or annual on-site monitoring</t>
        </is>
      </c>
      <c r="C13" t="inlineStr">
        <is>
          <t>Every 6–12 months on-site</t>
        </is>
      </c>
      <c r="D13" t="inlineStr">
        <is>
          <t>Every 2–6 months on-site</t>
        </is>
      </c>
      <c r="E13" t="inlineStr">
        <is>
          <t>Monthly or 100% SDV (source data verification)</t>
        </is>
      </c>
    </row>
    <row r="14">
      <c r="A14" t="inlineStr">
        <is>
          <t>2.6</t>
        </is>
      </c>
      <c r="B14" t="inlineStr">
        <is>
          <t>Oral drug — simple dispensing</t>
        </is>
      </c>
      <c r="C14" t="inlineStr">
        <is>
          <t>Refrigerated storage or reconstitution required</t>
        </is>
      </c>
      <c r="D14" t="inlineStr">
        <is>
          <t>IV infusion or complex preparation</t>
        </is>
      </c>
      <c r="E14" t="inlineStr">
        <is>
          <t>Specialized storage / dedicated resources required</t>
        </is>
      </c>
    </row>
    <row r="15">
      <c r="A15" t="inlineStr">
        <is>
          <t>2.7</t>
        </is>
      </c>
      <c r="B15" t="inlineStr">
        <is>
          <t>None required</t>
        </is>
      </c>
      <c r="C15" t="inlineStr">
        <is>
          <t>Single vendor or CRO</t>
        </is>
      </c>
      <c r="D15" t="inlineStr">
        <is>
          <t>Multiple vendors</t>
        </is>
      </c>
      <c r="E15" t="inlineStr">
        <is>
          <t>Complex vendor network / decentralized components</t>
        </is>
      </c>
    </row>
    <row r="16">
      <c r="A16" t="inlineStr">
        <is>
          <t>2.8</t>
        </is>
      </c>
      <c r="B16" t="inlineStr">
        <is>
          <t>Standard adverse event (AE) reporting</t>
        </is>
      </c>
      <c r="C16" t="inlineStr">
        <is>
          <t>Enhanced AE monitoring</t>
        </is>
      </c>
      <c r="D16" t="inlineStr">
        <is>
          <t>Real-time SAE / frequent reporting</t>
        </is>
      </c>
      <c r="E16" t="inlineStr">
        <is>
          <t>Complex: DSMB / frequent safety labs / specialized reporting</t>
        </is>
      </c>
    </row>
    <row r="17">
      <c r="A17" t="inlineStr">
        <is>
          <t>3.1</t>
        </is>
      </c>
      <c r="B17" t="inlineStr">
        <is>
          <t>Standard review process</t>
        </is>
      </c>
      <c r="C17" t="inlineStr">
        <is>
          <t>Expedited review — minor modifications</t>
        </is>
      </c>
      <c r="D17" t="inlineStr">
        <is>
          <t>Full board review — vulnerable populations or sensitive</t>
        </is>
      </c>
      <c r="E17" t="inlineStr">
        <is>
          <t>Multi-site or complex consent considerations</t>
        </is>
      </c>
    </row>
    <row r="18">
      <c r="A18" t="inlineStr">
        <is>
          <t>3.2</t>
        </is>
      </c>
      <c r="B18" t="inlineStr">
        <is>
          <t>None required</t>
        </is>
      </c>
      <c r="C18" t="inlineStr">
        <is>
          <t>Single submission (e.g., IND amendment)</t>
        </is>
      </c>
      <c r="D18" t="inlineStr">
        <is>
          <t>Multiple or specialized submissions</t>
        </is>
      </c>
      <c r="E18" t="inlineStr">
        <is>
          <t>Complex regulatory pathway or novel designation</t>
        </is>
      </c>
    </row>
    <row r="19">
      <c r="A19" t="inlineStr">
        <is>
          <t>3.3</t>
        </is>
      </c>
      <c r="B19" t="inlineStr">
        <is>
          <t>Standard single-signature consent</t>
        </is>
      </c>
      <c r="C19" t="inlineStr">
        <is>
          <t>Lengthy consent / additional educational materials</t>
        </is>
      </c>
      <c r="D19" t="inlineStr">
        <is>
          <t>Multi-stage consent or legally authorized representative (LAR)</t>
        </is>
      </c>
      <c r="E19" t="inlineStr">
        <is>
          <t>Complex — multiple optional sub-studies or ongoing consent</t>
        </is>
      </c>
    </row>
    <row r="20">
      <c r="A20" t="inlineStr">
        <is>
          <t>3.4</t>
        </is>
      </c>
      <c r="B20" t="inlineStr">
        <is>
          <t>Standard HIPAA compliance</t>
        </is>
      </c>
      <c r="C20" t="inlineStr">
        <is>
          <t>Enhanced security protocols</t>
        </is>
      </c>
      <c r="D20" t="inlineStr">
        <is>
          <t>International data transfers or specialized requirements</t>
        </is>
      </c>
      <c r="E20" t="inlineStr">
        <is>
          <t>Highly sensitive — exceptional security measures required</t>
        </is>
      </c>
    </row>
    <row r="21">
      <c r="A21" t="inlineStr">
        <is>
          <t>3.5</t>
        </is>
      </c>
      <c r="B21" t="inlineStr">
        <is>
          <t>None required</t>
        </is>
      </c>
      <c r="C21" t="inlineStr">
        <is>
          <t>Sponsor safety monitoring only</t>
        </is>
      </c>
      <c r="D21" t="inlineStr">
        <is>
          <t>Independent DSMB or adjudication committee</t>
        </is>
      </c>
      <c r="E21" t="inlineStr">
        <is>
          <t>Multiple committees / complex governance structure</t>
        </is>
      </c>
    </row>
    <row r="22">
      <c r="A22" t="inlineStr">
        <is>
          <t>3.6</t>
        </is>
      </c>
      <c r="B22" t="inlineStr">
        <is>
          <t>Low risk — standard monitoring</t>
        </is>
      </c>
      <c r="C22" t="inlineStr">
        <is>
          <t>Moderate risk — possible audit</t>
        </is>
      </c>
      <c r="D22" t="inlineStr">
        <is>
          <t>High risk — likely audit</t>
        </is>
      </c>
      <c r="E22" t="inlineStr">
        <is>
          <t>Very high risk — anticipated regulatory inspection</t>
        </is>
      </c>
    </row>
    <row r="23">
      <c r="A23" t="inlineStr">
        <is>
          <t>4.1</t>
        </is>
      </c>
      <c r="B23" t="inlineStr">
        <is>
          <t>&lt;0.25 FTE</t>
        </is>
      </c>
      <c r="C23" t="inlineStr">
        <is>
          <t>0.25–0.5 FTE</t>
        </is>
      </c>
      <c r="D23" t="inlineStr">
        <is>
          <t>0.5–1.0 FTE</t>
        </is>
      </c>
      <c r="E23" t="inlineStr">
        <is>
          <t>&gt;1.0 FTE or multiple coordinators needed</t>
        </is>
      </c>
    </row>
    <row r="24">
      <c r="A24" t="inlineStr">
        <is>
          <t>4.2</t>
        </is>
      </c>
      <c r="B24" t="inlineStr">
        <is>
          <t>Standard site capabilities sufficient</t>
        </is>
      </c>
      <c r="C24" t="inlineStr">
        <is>
          <t>Brief staff training required</t>
        </is>
      </c>
      <c r="D24" t="inlineStr">
        <is>
          <t>Specialized experienced staff needed</t>
        </is>
      </c>
      <c r="E24" t="inlineStr">
        <is>
          <t>Highly specialized skills or certification required</t>
        </is>
      </c>
    </row>
    <row r="25">
      <c r="A25" t="inlineStr">
        <is>
          <t>4.3</t>
        </is>
      </c>
      <c r="B25" t="inlineStr">
        <is>
          <t>Standard exam room</t>
        </is>
      </c>
      <c r="C25" t="inlineStr">
        <is>
          <t>Dedicated research space / standard equipment</t>
        </is>
      </c>
      <c r="D25" t="inlineStr">
        <is>
          <t>Specialized equipment or procedure space required</t>
        </is>
      </c>
      <c r="E25" t="inlineStr">
        <is>
          <t>Significant infrastructure investment required</t>
        </is>
      </c>
    </row>
    <row r="26">
      <c r="A26" t="inlineStr">
        <is>
          <t>4.4</t>
        </is>
      </c>
      <c r="B26" t="inlineStr">
        <is>
          <t>None or minimal pharmacy involvement</t>
        </is>
      </c>
      <c r="C26" t="inlineStr">
        <is>
          <t>Standard pharmacy services</t>
        </is>
      </c>
      <c r="D26" t="inlineStr">
        <is>
          <t>Moderate — compounding or specialized storage</t>
        </is>
      </c>
      <c r="E26" t="inlineStr">
        <is>
          <t>Intensive / specialized pharmacy capabilities required</t>
        </is>
      </c>
    </row>
    <row r="27">
      <c r="A27" t="inlineStr">
        <is>
          <t>4.5</t>
        </is>
      </c>
      <c r="B27" t="inlineStr">
        <is>
          <t>Routine commercial laboratory</t>
        </is>
      </c>
      <c r="C27" t="inlineStr">
        <is>
          <t>Standard sample processing and storage</t>
        </is>
      </c>
      <c r="D27" t="inlineStr">
        <is>
          <t>Specialized laboratory (e.g., −80°C freezer required)</t>
        </is>
      </c>
      <c r="E27" t="inlineStr">
        <is>
          <t>Complex protocols / significant storage investment</t>
        </is>
      </c>
    </row>
    <row r="28">
      <c r="A28" t="inlineStr">
        <is>
          <t>4.6</t>
        </is>
      </c>
      <c r="B28" t="inlineStr">
        <is>
          <t>Budget clearly exceeds projected costs</t>
        </is>
      </c>
      <c r="C28" t="inlineStr">
        <is>
          <t>Budget adequate with reasonable contingency</t>
        </is>
      </c>
      <c r="D28" t="inlineStr">
        <is>
          <t>Marginally adequate — limited contingency</t>
        </is>
      </c>
      <c r="E28" t="inlineStr">
        <is>
          <t>Budget insufficient for safe conduct</t>
        </is>
      </c>
    </row>
    <row r="29">
      <c r="A29" t="inlineStr">
        <is>
          <t>4.7</t>
        </is>
      </c>
      <c r="B29" t="inlineStr">
        <is>
          <t>Significant available capacity</t>
        </is>
      </c>
      <c r="C29" t="inlineStr">
        <is>
          <t>Moderate available capacity</t>
        </is>
      </c>
      <c r="D29" t="inlineStr">
        <is>
          <t>Limited capacity — near maximum</t>
        </is>
      </c>
      <c r="E29" t="inlineStr">
        <is>
          <t>At or over current capacity</t>
        </is>
      </c>
    </row>
    <row r="30">
      <c r="A30" t="inlineStr">
        <is>
          <t>5.1</t>
        </is>
      </c>
      <c r="B30" t="inlineStr">
        <is>
          <t>Large, readily accessible population</t>
        </is>
      </c>
      <c r="C30" t="inlineStr">
        <is>
          <t>Moderate — accessible with standard outreach</t>
        </is>
      </c>
      <c r="D30" t="inlineStr">
        <is>
          <t>Small — requires active recruitment effort</t>
        </is>
      </c>
      <c r="E30" t="inlineStr">
        <is>
          <t>Very limited / rare disease population</t>
        </is>
      </c>
    </row>
    <row r="31">
      <c r="A31" t="inlineStr">
        <is>
          <t>5.2</t>
        </is>
      </c>
      <c r="B31" t="inlineStr">
        <is>
          <t>Relaxed timeline / low enrollment rate</t>
        </is>
      </c>
      <c r="C31" t="inlineStr">
        <is>
          <t>Moderate timeline and rate</t>
        </is>
      </c>
      <c r="D31" t="inlineStr">
        <is>
          <t>Aggressive timeline / high enrollment rate</t>
        </is>
      </c>
      <c r="E31" t="inlineStr">
        <is>
          <t>Very aggressive — likely unachievable</t>
        </is>
      </c>
    </row>
    <row r="32">
      <c r="A32" t="inlineStr">
        <is>
          <t>5.3</t>
        </is>
      </c>
      <c r="B32" t="inlineStr">
        <is>
          <t>No competing studies</t>
        </is>
      </c>
      <c r="C32" t="inlineStr">
        <is>
          <t>Minimal competition — distinct populations</t>
        </is>
      </c>
      <c r="D32" t="inlineStr">
        <is>
          <t>Moderate competition for same population</t>
        </is>
      </c>
      <c r="E32" t="inlineStr">
        <is>
          <t>Direct competition / trial competes with standard of care</t>
        </is>
      </c>
    </row>
    <row r="33">
      <c r="A33" t="inlineStr">
        <is>
          <t>5.4</t>
        </is>
      </c>
      <c r="B33" t="inlineStr">
        <is>
          <t>Minimal burden — convenient participation</t>
        </is>
      </c>
      <c r="C33" t="inlineStr">
        <is>
          <t>Moderate burden — manageable</t>
        </is>
      </c>
      <c r="D33" t="inlineStr">
        <is>
          <t>Substantial burden — may deter enrollment</t>
        </is>
      </c>
      <c r="E33" t="inlineStr">
        <is>
          <t>Excessive burden — significantly impacts consent</t>
        </is>
      </c>
    </row>
    <row r="34">
      <c r="A34" t="inlineStr">
        <is>
          <t>5.5</t>
        </is>
      </c>
      <c r="B34" t="inlineStr">
        <is>
          <t>Low dropout risk / short study duration</t>
        </is>
      </c>
      <c r="C34" t="inlineStr">
        <is>
          <t>Moderate retention challenge</t>
        </is>
      </c>
      <c r="D34" t="inlineStr">
        <is>
          <t>Retention challenges anticipated</t>
        </is>
      </c>
      <c r="E34" t="inlineStr">
        <is>
          <t>High dropout risk — likely to compromise data</t>
        </is>
      </c>
    </row>
    <row r="35">
      <c r="A35" t="inlineStr">
        <is>
          <t>5.6</t>
        </is>
      </c>
      <c r="B35" t="inlineStr">
        <is>
          <t>Proven strategy / high confidence</t>
        </is>
      </c>
      <c r="C35" t="inlineStr">
        <is>
          <t>Standard approach / moderate confidence</t>
        </is>
      </c>
      <c r="D35" t="inlineStr">
        <is>
          <t>Novel or uncertain strategy</t>
        </is>
      </c>
      <c r="E35" t="inlineStr">
        <is>
          <t>Unclear / likely ineffective strategy</t>
        </is>
      </c>
    </row>
    <row r="36">
      <c r="A36" t="inlineStr">
        <is>
          <t>2.9</t>
        </is>
      </c>
      <c r="B36" t="inlineStr">
        <is>
          <t>No unscheduled/event-triggered visits anticipated</t>
        </is>
      </c>
      <c r="C36" t="inlineStr">
        <is>
          <t>Occasional unscheduled contact (e.g., phone triage), low frequency</t>
        </is>
      </c>
      <c r="D36" t="inlineStr">
        <is>
          <t>Regular unscheduled/urgent visits (e.g., VOC or bleeding-episode evaluation), business-hours capacity sufficient</t>
        </is>
      </c>
      <c r="E36" t="inlineStr">
        <is>
          <t>Frequent/unpredictable unscheduled visits requiring 24/7 availability, ER coordination, or after-hours dosing</t>
        </is>
      </c>
    </row>
    <row r="37">
      <c r="A37" t="inlineStr">
        <is>
          <t>4.8</t>
        </is>
      </c>
      <c r="B37" t="inlineStr">
        <is>
          <t>No extended follow-up beyond standard close-out (≤1 year)</t>
        </is>
      </c>
      <c r="C37" t="inlineStr">
        <is>
          <t>Extended follow-up 1–5 years post-treatment, low-intensity</t>
        </is>
      </c>
      <c r="D37" t="inlineStr">
        <is>
          <t>Extended follow-up 5–10 years, periodic visits or specialized monitoring</t>
        </is>
      </c>
      <c r="E37" t="inlineStr">
        <is>
          <t>Extended follow-up &gt;10 years (e.g., 15-year gene therapy LTFU), sustained visits, specialized long-term safety monitoring</t>
        </is>
      </c>
    </row>
    <row r="38">
      <c r="A38" t="inlineStr">
        <is>
          <t>4.9</t>
        </is>
      </c>
      <c r="B38" t="inlineStr">
        <is>
          <t>Routine visits — labs, questionnaires, standard imaging</t>
        </is>
      </c>
      <c r="C38" t="inlineStr">
        <is>
          <t>Extended visits or minor procedures — infusion, serial PK sampling</t>
        </is>
      </c>
      <c r="D38" t="inlineStr">
        <is>
          <t>Invasive or multi-hour procedures — biopsy, apheresis, sedation, telemetry</t>
        </is>
      </c>
      <c r="E38" t="inlineStr">
        <is>
          <t>Multi-day inpatient or chained procedures — mobilization + apheresis, conditioning</t>
        </is>
      </c>
    </row>
  </sheetData>
  <pageMargins left="0.75" right="0.75" top="1" bottom="1" header="0.5" footer="0.5"/>
  <headerFooter>
    <oddHeader/>
    <oddFooter>&amp;L&amp;"Aptos"&amp;10 &amp;K000000_x000d_# St. Jude -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2026-07-29T18:21:03Z</dcterms:created>
  <dcterms:modified xmlns:dcterms="http://purl.org/dc/terms/" xmlns:xsi="http://www.w3.org/2001/XMLSchema-instance" xsi:type="dcterms:W3CDTF">2026-09-10T15:57:00Z</dcterms:modified>
  <cp:lastModifiedBy>Hodges, Jason</cp:lastModifiedBy>
</cp:coreProperties>
</file>