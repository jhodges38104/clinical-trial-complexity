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jhodges/Library/Mobile Documents/com~apple~CloudDocs/Documents/Protocol Scoring Rubric/data/"/>
    </mc:Choice>
  </mc:AlternateContent>
  <xr:revisionPtr revIDLastSave="0" documentId="8_{957B6B6C-266D-5E4E-933A-0A062D451CEF}" xr6:coauthVersionLast="47" xr6:coauthVersionMax="47" xr10:uidLastSave="{00000000-0000-0000-0000-000000000000}"/>
  <bookViews>
    <workbookView xWindow="0" yWindow="640" windowWidth="30240" windowHeight="19000" xr2:uid="{00000000-000D-0000-FFFF-FFFF00000000}"/>
  </bookViews>
  <sheets>
    <sheet name="Assessment" sheetId="1" r:id="rId1"/>
    <sheet name="Dashboard" sheetId="2" r:id="rId2"/>
    <sheet name="Lookup" sheetId="3" state="hidden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5" i="1" l="1"/>
  <c r="G15" i="2" s="1"/>
  <c r="E54" i="1"/>
  <c r="D54" i="1"/>
  <c r="E53" i="1"/>
  <c r="D53" i="1"/>
  <c r="E52" i="1"/>
  <c r="D52" i="1"/>
  <c r="E51" i="1"/>
  <c r="D51" i="1"/>
  <c r="E50" i="1"/>
  <c r="E55" i="1" s="1"/>
  <c r="F15" i="2" s="1"/>
  <c r="D50" i="1"/>
  <c r="E49" i="1"/>
  <c r="D49" i="1"/>
  <c r="D46" i="1"/>
  <c r="C46" i="1"/>
  <c r="D69" i="1" s="1"/>
  <c r="E45" i="1"/>
  <c r="D45" i="1"/>
  <c r="E44" i="1"/>
  <c r="D44" i="1"/>
  <c r="E43" i="1"/>
  <c r="D43" i="1"/>
  <c r="E42" i="1"/>
  <c r="D42" i="1"/>
  <c r="E41" i="1"/>
  <c r="D41" i="1"/>
  <c r="E40" i="1"/>
  <c r="D40" i="1"/>
  <c r="E39" i="1"/>
  <c r="E46" i="1" s="1"/>
  <c r="F14" i="2" s="1"/>
  <c r="D39" i="1"/>
  <c r="D36" i="1"/>
  <c r="C36" i="1"/>
  <c r="D68" i="1" s="1"/>
  <c r="E35" i="1"/>
  <c r="D35" i="1"/>
  <c r="E34" i="1"/>
  <c r="D34" i="1"/>
  <c r="E33" i="1"/>
  <c r="D33" i="1"/>
  <c r="E32" i="1"/>
  <c r="D32" i="1"/>
  <c r="E31" i="1"/>
  <c r="D31" i="1"/>
  <c r="E30" i="1"/>
  <c r="E36" i="1" s="1"/>
  <c r="F13" i="2" s="1"/>
  <c r="D30" i="1"/>
  <c r="D27" i="1"/>
  <c r="C27" i="1"/>
  <c r="G12" i="2" s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E27" i="1" s="1"/>
  <c r="F12" i="2" s="1"/>
  <c r="D19" i="1"/>
  <c r="D16" i="1"/>
  <c r="C16" i="1"/>
  <c r="G11" i="2" s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E16" i="1" s="1"/>
  <c r="D9" i="1"/>
  <c r="C59" i="1" l="1"/>
  <c r="F11" i="2"/>
  <c r="C13" i="2"/>
  <c r="E13" i="2" s="1"/>
  <c r="C66" i="1"/>
  <c r="D66" i="1"/>
  <c r="G13" i="2"/>
  <c r="C67" i="1"/>
  <c r="C11" i="2"/>
  <c r="E11" i="2" s="1"/>
  <c r="C14" i="2"/>
  <c r="E14" i="2" s="1"/>
  <c r="D67" i="1"/>
  <c r="C68" i="1"/>
  <c r="D55" i="1"/>
  <c r="G14" i="2"/>
  <c r="C69" i="1"/>
  <c r="C12" i="2"/>
  <c r="E12" i="2" s="1"/>
  <c r="C15" i="2"/>
  <c r="E15" i="2" s="1"/>
  <c r="C70" i="1"/>
  <c r="C61" i="1"/>
  <c r="D70" i="1"/>
  <c r="C60" i="1" l="1"/>
  <c r="D6" i="2" s="1"/>
  <c r="B6" i="2"/>
  <c r="C62" i="1"/>
  <c r="F6" i="2" l="1"/>
  <c r="C63" i="1"/>
  <c r="B7" i="2" s="1"/>
</calcChain>
</file>

<file path=xl/sharedStrings.xml><?xml version="1.0" encoding="utf-8"?>
<sst xmlns="http://schemas.openxmlformats.org/spreadsheetml/2006/main" count="349" uniqueCount="289">
  <si>
    <t>Clinical Trial Complexity Assessment</t>
  </si>
  <si>
    <t>Go / No-Go Decision Support · 5 Dimensions · 34 Criteria · OPAL / EFACCT Framework</t>
  </si>
  <si>
    <t>Study Name:</t>
  </si>
  <si>
    <t>Protocol #:</t>
  </si>
  <si>
    <t>Assessment Date:</t>
  </si>
  <si>
    <t>Assessor:</t>
  </si>
  <si>
    <t>ID</t>
  </si>
  <si>
    <t>Criterion</t>
  </si>
  <si>
    <t>Score
(0–3)</t>
  </si>
  <si>
    <t>Score Description</t>
  </si>
  <si>
    <t>Wtd. Contrib.</t>
  </si>
  <si>
    <t>DIMENSION 1:  PROTOCOL DESIGN &amp; STUDY COMPLEXITY     (weight ×1.2  |  max raw 21  |  red flag if raw &gt; 15)</t>
  </si>
  <si>
    <t>1.1</t>
  </si>
  <si>
    <t>Trial Phase</t>
  </si>
  <si>
    <t>1.2</t>
  </si>
  <si>
    <t>Study Design Complexity</t>
  </si>
  <si>
    <t>1.3</t>
  </si>
  <si>
    <t>Number of Treatment Arms</t>
  </si>
  <si>
    <t>1.4</t>
  </si>
  <si>
    <t>Eligibility Criteria Complexity</t>
  </si>
  <si>
    <t>1.5</t>
  </si>
  <si>
    <t>Biomarker Requirements</t>
  </si>
  <si>
    <t>1.6</t>
  </si>
  <si>
    <t>Primary Endpoint Complexity</t>
  </si>
  <si>
    <t>1.7</t>
  </si>
  <si>
    <t>Protocol Amendment History</t>
  </si>
  <si>
    <t>D1</t>
  </si>
  <si>
    <t>Dimension 1 Subtotal</t>
  </si>
  <si>
    <t>DIMENSION 2:  OPERATIONAL EXECUTION &amp; SITE BURDEN     (weight ×1.5  |  max raw 24  |  red flag if raw &gt; 17)</t>
  </si>
  <si>
    <t>2.1</t>
  </si>
  <si>
    <t>Number of Study Visits</t>
  </si>
  <si>
    <t>2.2</t>
  </si>
  <si>
    <t>Visit Duration</t>
  </si>
  <si>
    <t>2.3</t>
  </si>
  <si>
    <t>Assessment Procedures</t>
  </si>
  <si>
    <t>2.4</t>
  </si>
  <si>
    <t>Data Collection Burden</t>
  </si>
  <si>
    <t>2.5</t>
  </si>
  <si>
    <t>Monitoring Intensity</t>
  </si>
  <si>
    <t>2.6</t>
  </si>
  <si>
    <t>Investigational Product Handling</t>
  </si>
  <si>
    <t>2.7</t>
  </si>
  <si>
    <t>Third-Party Coordination</t>
  </si>
  <si>
    <t>2.8</t>
  </si>
  <si>
    <t>Safety Reporting Requirements</t>
  </si>
  <si>
    <t>D2</t>
  </si>
  <si>
    <t>Dimension 2 Subtotal</t>
  </si>
  <si>
    <t>DIMENSION 3:  REGULATORY &amp; OVERSIGHT REQUIREMENTS     (weight ×1.0  |  max raw 18  |  red flag if raw &gt; 13)</t>
  </si>
  <si>
    <t>3.1</t>
  </si>
  <si>
    <t>IRB / Ethics Review</t>
  </si>
  <si>
    <t>3.2</t>
  </si>
  <si>
    <t>Regulatory Submissions</t>
  </si>
  <si>
    <t>3.3</t>
  </si>
  <si>
    <t>Informed Consent Complexity</t>
  </si>
  <si>
    <t>3.4</t>
  </si>
  <si>
    <t>Data Privacy Requirements</t>
  </si>
  <si>
    <t>3.5</t>
  </si>
  <si>
    <t>Oversight Committees</t>
  </si>
  <si>
    <t>3.6</t>
  </si>
  <si>
    <t>Audit / Inspection Risk</t>
  </si>
  <si>
    <t>D3</t>
  </si>
  <si>
    <t>Dimension 3 Subtotal</t>
  </si>
  <si>
    <t>DIMENSION 4:  RESOURCE &amp; WORKFORCE CAPACITY     (weight ×1.3  |  max raw 21  |  red flag if raw &gt; 15)</t>
  </si>
  <si>
    <t>4.1</t>
  </si>
  <si>
    <t>Coordinator Time Required</t>
  </si>
  <si>
    <t>4.2</t>
  </si>
  <si>
    <t>Specialized Expertise Needed</t>
  </si>
  <si>
    <t>4.3</t>
  </si>
  <si>
    <t>Space &amp; Equipment Requirements</t>
  </si>
  <si>
    <t>4.4</t>
  </si>
  <si>
    <t>Pharmacy Resources</t>
  </si>
  <si>
    <t>4.5</t>
  </si>
  <si>
    <t>Laboratory Resources</t>
  </si>
  <si>
    <t>4.6</t>
  </si>
  <si>
    <t>Budget Adequacy</t>
  </si>
  <si>
    <t>4.7</t>
  </si>
  <si>
    <t>Current Site Workload</t>
  </si>
  <si>
    <t>D4</t>
  </si>
  <si>
    <t>Dimension 4 Subtotal</t>
  </si>
  <si>
    <t>DIMENSION 5:  PATIENT POPULATION &amp; RECRUITMENT     (weight ×1.0  |  max raw 18  |  red flag if raw &gt; 13)</t>
  </si>
  <si>
    <t>5.1</t>
  </si>
  <si>
    <t>Target Population Accessibility</t>
  </si>
  <si>
    <t>5.2</t>
  </si>
  <si>
    <t>Enrollment Timeline</t>
  </si>
  <si>
    <t>5.3</t>
  </si>
  <si>
    <t>Competing Studies</t>
  </si>
  <si>
    <t>5.4</t>
  </si>
  <si>
    <t>Patient Burden</t>
  </si>
  <si>
    <t>5.5</t>
  </si>
  <si>
    <t>Retention Challenges</t>
  </si>
  <si>
    <t>5.6</t>
  </si>
  <si>
    <t>Recruitment Strategy Feasibility</t>
  </si>
  <si>
    <t>D5</t>
  </si>
  <si>
    <t>Dimension 5 Subtotal</t>
  </si>
  <si>
    <t>OVERALL RESULTS</t>
  </si>
  <si>
    <t>Overall Score (0–100):</t>
  </si>
  <si>
    <t>0–40 Low  |  41–65 Medium  |  66–100 High</t>
  </si>
  <si>
    <t>Complexity Band:</t>
  </si>
  <si>
    <t>Low = manageable  |  Medium = requires planning  |  High = significant risk</t>
  </si>
  <si>
    <t>Dim 5 Raw Score (0–18):</t>
  </si>
  <si>
    <t>Patient Population dimension — drives recruitment risk tier</t>
  </si>
  <si>
    <t>Decision:</t>
  </si>
  <si>
    <t>See Dashboard sheet for full recommendation</t>
  </si>
  <si>
    <t>Rationale:</t>
  </si>
  <si>
    <t>DIMENSION RED FLAGS</t>
  </si>
  <si>
    <t>Protocol Design &amp; Study Complexity</t>
  </si>
  <si>
    <t>Operational Execution &amp; Site Burden</t>
  </si>
  <si>
    <t>Regulatory &amp; Oversight Requirements</t>
  </si>
  <si>
    <t>Resource &amp; Workforce Capacity</t>
  </si>
  <si>
    <t>Patient Population &amp; Recruitment</t>
  </si>
  <si>
    <t>ASSESSMENT DASHBOARD</t>
  </si>
  <si>
    <t>Clinical Trial Complexity Assessment  —  Go / No-Go Decision Support</t>
  </si>
  <si>
    <t>OVERALL SCORE SUMMARY</t>
  </si>
  <si>
    <t>Overall Score</t>
  </si>
  <si>
    <t>Complexity Band</t>
  </si>
  <si>
    <t>Decision</t>
  </si>
  <si>
    <t>DIMENSION SCORES</t>
  </si>
  <si>
    <t>Dimension</t>
  </si>
  <si>
    <t>Raw Score</t>
  </si>
  <si>
    <t>Max Raw</t>
  </si>
  <si>
    <t>% Score</t>
  </si>
  <si>
    <t>Wt. Score</t>
  </si>
  <si>
    <t>Red Flag?</t>
  </si>
  <si>
    <t>Dim 1: Protocol Design &amp; Study Complexity</t>
  </si>
  <si>
    <t>Dim 2: Operational Execution &amp; Site Burden</t>
  </si>
  <si>
    <t>Dim 3: Regulatory &amp; Oversight Requirements</t>
  </si>
  <si>
    <t>Dim 4: Resource &amp; Workforce Capacity</t>
  </si>
  <si>
    <t>Dim 5: Patient Population &amp; Recruitment</t>
  </si>
  <si>
    <t>DECISION MATRIX</t>
  </si>
  <si>
    <t>Dim 5 Raw</t>
  </si>
  <si>
    <t>Rationale</t>
  </si>
  <si>
    <t>0–40</t>
  </si>
  <si>
    <t>0–6</t>
  </si>
  <si>
    <t>GO</t>
  </si>
  <si>
    <t>Standard activation — proceed with normal planning</t>
  </si>
  <si>
    <t>7–12</t>
  </si>
  <si>
    <t>GO with Monitoring</t>
  </si>
  <si>
    <t>Proceed with enhanced recruitment planning</t>
  </si>
  <si>
    <t>13–18</t>
  </si>
  <si>
    <t>CONDITIONAL GO</t>
  </si>
  <si>
    <t>Robust recruitment mitigation plan required</t>
  </si>
  <si>
    <t>41–65</t>
  </si>
  <si>
    <t>GO with Planning</t>
  </si>
  <si>
    <t>Resource allocation and risk mitigation plan required</t>
  </si>
  <si>
    <t>Adequate resources and strategy must be confirmed</t>
  </si>
  <si>
    <t>NO-GO</t>
  </si>
  <si>
    <t>Decline unless exceptional strategic value exists</t>
  </si>
  <si>
    <t>66–100</t>
  </si>
  <si>
    <t>Exceptional justification and comprehensive plan required</t>
  </si>
  <si>
    <t>Decline unless transformational strategic opportunity</t>
  </si>
  <si>
    <t>Decline — risk of failure is too high</t>
  </si>
  <si>
    <t>Item ID</t>
  </si>
  <si>
    <t>Score 0 (Low)</t>
  </si>
  <si>
    <t>Score 1</t>
  </si>
  <si>
    <t>Score 2</t>
  </si>
  <si>
    <t>Score 3 (High)</t>
  </si>
  <si>
    <t>Phase IV / Observational</t>
  </si>
  <si>
    <t>Phase III</t>
  </si>
  <si>
    <t>Phase II</t>
  </si>
  <si>
    <t>Phase I / First-in-Human</t>
  </si>
  <si>
    <t>Simple parallel / observational</t>
  </si>
  <si>
    <t>Crossover / factorial</t>
  </si>
  <si>
    <t>Adaptive randomization / dose-finding</t>
  </si>
  <si>
    <t>Complex adaptive with multiple decision points</t>
  </si>
  <si>
    <t>Single / observational</t>
  </si>
  <si>
    <t>Two arms</t>
  </si>
  <si>
    <t>Three arms</t>
  </si>
  <si>
    <t>Four or more arms</t>
  </si>
  <si>
    <t>Broad (≤10 criteria)</t>
  </si>
  <si>
    <t>Moderate (11–20 criteria)</t>
  </si>
  <si>
    <t>Restrictive (21–30 criteria)</t>
  </si>
  <si>
    <t>Highly restrictive (&gt;30 or specialized testing required)</t>
  </si>
  <si>
    <t>None required</t>
  </si>
  <si>
    <t>Standard routine laboratory</t>
  </si>
  <si>
    <t>Specialized send-out testing</t>
  </si>
  <si>
    <t>Multiple specialized / novel assays</t>
  </si>
  <si>
    <t>Simple clinical or survival endpoint</t>
  </si>
  <si>
    <t>Patient-reported outcome (PRO) / QoL</t>
  </si>
  <si>
    <t>Composite or imaging endpoint</t>
  </si>
  <si>
    <t>Novel endpoint / central adjudication required</t>
  </si>
  <si>
    <t>Stable — no amendments anticipated</t>
  </si>
  <si>
    <t>1–2 minor amendments</t>
  </si>
  <si>
    <t>3–4 moderate amendments</t>
  </si>
  <si>
    <t>&gt;4 amendments or major design changes</t>
  </si>
  <si>
    <t>≤5 visits</t>
  </si>
  <si>
    <t>6–10 visits</t>
  </si>
  <si>
    <t>11–20 visits</t>
  </si>
  <si>
    <t>&gt;20 visits</t>
  </si>
  <si>
    <t>&lt;1 hour — routine visit</t>
  </si>
  <si>
    <t>1–2 hours — standard procedures</t>
  </si>
  <si>
    <t>2–4 hours — multiple procedures</t>
  </si>
  <si>
    <t>&gt;4 hours — complex / inpatient</t>
  </si>
  <si>
    <t>Routine vitals and labs</t>
  </si>
  <si>
    <t>Standard imaging or functional tests</t>
  </si>
  <si>
    <t>Specialized procedures (PK, imaging)</t>
  </si>
  <si>
    <t>Multiple specialized / invasive procedures</t>
  </si>
  <si>
    <t>Simple eCRF — minimal fields</t>
  </si>
  <si>
    <t>Standard eCRF — moderate fields</t>
  </si>
  <si>
    <t>Complex eCRF — extensive data points</t>
  </si>
  <si>
    <t>Multiple systems / real-time / PRO support required</t>
  </si>
  <si>
    <t>Remote or annual on-site monitoring</t>
  </si>
  <si>
    <t>Every 6–12 months on-site</t>
  </si>
  <si>
    <t>Every 2–6 months on-site</t>
  </si>
  <si>
    <t>Monthly or 100% SDV (source data verification)</t>
  </si>
  <si>
    <t>Oral drug — simple dispensing</t>
  </si>
  <si>
    <t>Refrigerated storage or reconstitution required</t>
  </si>
  <si>
    <t>IV infusion or complex preparation</t>
  </si>
  <si>
    <t>Specialized storage / dedicated resources required</t>
  </si>
  <si>
    <t>Single vendor or CRO</t>
  </si>
  <si>
    <t>Multiple vendors</t>
  </si>
  <si>
    <t>Complex vendor network / decentralized components</t>
  </si>
  <si>
    <t>Standard adverse event (AE) reporting</t>
  </si>
  <si>
    <t>Enhanced AE monitoring</t>
  </si>
  <si>
    <t>Real-time SAE / frequent reporting</t>
  </si>
  <si>
    <t>Complex: DSMB / frequent safety labs / specialized reporting</t>
  </si>
  <si>
    <t>Standard review process</t>
  </si>
  <si>
    <t>Expedited review — minor modifications</t>
  </si>
  <si>
    <t>Full board review — vulnerable populations or sensitive</t>
  </si>
  <si>
    <t>Multi-site or complex consent considerations</t>
  </si>
  <si>
    <t>Single submission (e.g., IND amendment)</t>
  </si>
  <si>
    <t>Multiple or specialized submissions</t>
  </si>
  <si>
    <t>Complex regulatory pathway or novel designation</t>
  </si>
  <si>
    <t>Standard single-signature consent</t>
  </si>
  <si>
    <t>Lengthy consent / additional educational materials</t>
  </si>
  <si>
    <t>Multi-stage consent or legally authorized representative (LAR)</t>
  </si>
  <si>
    <t>Complex — multiple optional sub-studies or ongoing consent</t>
  </si>
  <si>
    <t>Standard HIPAA compliance</t>
  </si>
  <si>
    <t>Enhanced security protocols</t>
  </si>
  <si>
    <t>International data transfers or specialized requirements</t>
  </si>
  <si>
    <t>Highly sensitive — exceptional security measures required</t>
  </si>
  <si>
    <t>Sponsor safety monitoring only</t>
  </si>
  <si>
    <t>Independent DSMB or adjudication committee</t>
  </si>
  <si>
    <t>Multiple committees / complex governance structure</t>
  </si>
  <si>
    <t>Low risk — standard monitoring</t>
  </si>
  <si>
    <t>Moderate risk — possible audit</t>
  </si>
  <si>
    <t>High risk — likely audit</t>
  </si>
  <si>
    <t>Very high risk — anticipated regulatory inspection</t>
  </si>
  <si>
    <t>&lt;0.25 FTE</t>
  </si>
  <si>
    <t>0.25–0.5 FTE</t>
  </si>
  <si>
    <t>0.5–1.0 FTE</t>
  </si>
  <si>
    <t>&gt;1.0 FTE or multiple coordinators needed</t>
  </si>
  <si>
    <t>Standard site capabilities sufficient</t>
  </si>
  <si>
    <t>Brief staff training required</t>
  </si>
  <si>
    <t>Specialized experienced staff needed</t>
  </si>
  <si>
    <t>Highly specialized skills or certification required</t>
  </si>
  <si>
    <t>Standard exam room</t>
  </si>
  <si>
    <t>Dedicated research space / standard equipment</t>
  </si>
  <si>
    <t>Specialized equipment or procedure space required</t>
  </si>
  <si>
    <t>Significant infrastructure investment required</t>
  </si>
  <si>
    <t>None or minimal pharmacy involvement</t>
  </si>
  <si>
    <t>Standard pharmacy services</t>
  </si>
  <si>
    <t>Moderate — compounding or specialized storage</t>
  </si>
  <si>
    <t>Intensive / specialized pharmacy capabilities required</t>
  </si>
  <si>
    <t>Routine commercial laboratory</t>
  </si>
  <si>
    <t>Standard sample processing and storage</t>
  </si>
  <si>
    <t>Specialized laboratory (e.g., −80°C freezer required)</t>
  </si>
  <si>
    <t>Complex protocols / significant storage investment</t>
  </si>
  <si>
    <t>Budget clearly exceeds projected costs</t>
  </si>
  <si>
    <t>Budget adequate with reasonable contingency</t>
  </si>
  <si>
    <t>Marginally adequate — limited contingency</t>
  </si>
  <si>
    <t>Budget insufficient for safe conduct</t>
  </si>
  <si>
    <t>Significant available capacity</t>
  </si>
  <si>
    <t>Moderate available capacity</t>
  </si>
  <si>
    <t>Limited capacity — near maximum</t>
  </si>
  <si>
    <t>At or over current capacity</t>
  </si>
  <si>
    <t>Large, readily accessible population</t>
  </si>
  <si>
    <t>Moderate — accessible with standard outreach</t>
  </si>
  <si>
    <t>Small — requires active recruitment effort</t>
  </si>
  <si>
    <t>Very limited / rare disease population</t>
  </si>
  <si>
    <t>Relaxed timeline / low enrollment rate</t>
  </si>
  <si>
    <t>Moderate timeline and rate</t>
  </si>
  <si>
    <t>Aggressive timeline / high enrollment rate</t>
  </si>
  <si>
    <t>Very aggressive — likely unachievable</t>
  </si>
  <si>
    <t>No competing studies</t>
  </si>
  <si>
    <t>Minimal competition — distinct populations</t>
  </si>
  <si>
    <t>Moderate competition for same population</t>
  </si>
  <si>
    <t>Direct competition / trial competes with standard of care</t>
  </si>
  <si>
    <t>Minimal burden — convenient participation</t>
  </si>
  <si>
    <t>Moderate burden — manageable</t>
  </si>
  <si>
    <t>Substantial burden — may deter enrollment</t>
  </si>
  <si>
    <t>Excessive burden — significantly impacts consent</t>
  </si>
  <si>
    <t>Low dropout risk / short study duration</t>
  </si>
  <si>
    <t>Moderate retention challenge</t>
  </si>
  <si>
    <t>Retention challenges anticipated</t>
  </si>
  <si>
    <t>High dropout risk — likely to compromise data</t>
  </si>
  <si>
    <t>Proven strategy / high confidence</t>
  </si>
  <si>
    <t>Standard approach / moderate confidence</t>
  </si>
  <si>
    <t>Novel or uncertain strategy</t>
  </si>
  <si>
    <t>Unclear / likely ineffective strategy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</si>
</sst>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&quot;%&quot;"/>
  </numFmts>
  <fonts count="34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b/>
      <sz val="18"/>
      <color rgb="FFFFFFFF"/>
      <name val="Calibri"/>
      <family val="2"/>
    </font>
    <font>
      <i/>
      <sz val="10"/>
      <color rgb="FF93C5FD"/>
      <name val="Calibri"/>
      <family val="2"/>
    </font>
    <font>
      <b/>
      <sz val="10"/>
      <color rgb="FF1E3A5F"/>
      <name val="Calibri"/>
      <family val="2"/>
    </font>
    <font>
      <sz val="10"/>
      <color rgb="FF000000"/>
      <name val="Calibri"/>
      <family val="2"/>
    </font>
    <font>
      <b/>
      <sz val="10"/>
      <color rgb="FF3B82F6"/>
      <name val="Calibri"/>
      <family val="2"/>
    </font>
    <font>
      <b/>
      <sz val="9"/>
      <color rgb="FF475569"/>
      <name val="Calibri"/>
      <family val="2"/>
    </font>
    <font>
      <b/>
      <sz val="11"/>
      <color rgb="FF000000"/>
      <name val="Calibri"/>
      <family val="2"/>
    </font>
    <font>
      <i/>
      <sz val="9"/>
      <color rgb="FF475569"/>
      <name val="Calibri"/>
      <family val="2"/>
    </font>
    <font>
      <sz val="9"/>
      <color rgb="FF94A3B8"/>
      <name val="Calibri"/>
      <family val="2"/>
    </font>
    <font>
      <b/>
      <sz val="9"/>
      <color rgb="FFFFFFFF"/>
      <name val="Calibri"/>
      <family val="2"/>
    </font>
    <font>
      <b/>
      <sz val="11"/>
      <color rgb="FF1E3A5F"/>
      <name val="Calibri"/>
      <family val="2"/>
    </font>
    <font>
      <b/>
      <sz val="10"/>
      <color rgb="FF8B5CF6"/>
      <name val="Calibri"/>
      <family val="2"/>
    </font>
    <font>
      <b/>
      <sz val="10"/>
      <color rgb="FF10B981"/>
      <name val="Calibri"/>
      <family val="2"/>
    </font>
    <font>
      <b/>
      <sz val="10"/>
      <color rgb="FFF59E0B"/>
      <name val="Calibri"/>
      <family val="2"/>
    </font>
    <font>
      <b/>
      <sz val="10"/>
      <color rgb="FFEF4444"/>
      <name val="Calibri"/>
      <family val="2"/>
    </font>
    <font>
      <b/>
      <sz val="12"/>
      <color rgb="FFFFFFFF"/>
      <name val="Calibri"/>
      <family val="2"/>
    </font>
    <font>
      <b/>
      <sz val="14"/>
      <color rgb="FF1E3A5F"/>
      <name val="Calibri"/>
      <family val="2"/>
    </font>
    <font>
      <i/>
      <sz val="9"/>
      <color rgb="FF64748B"/>
      <name val="Calibri"/>
      <family val="2"/>
    </font>
    <font>
      <b/>
      <sz val="13"/>
      <color rgb="FF1E3A5F"/>
      <name val="Calibri"/>
      <family val="2"/>
    </font>
    <font>
      <b/>
      <sz val="12"/>
      <color rgb="FF1E3A5F"/>
      <name val="Calibri"/>
      <family val="2"/>
    </font>
    <font>
      <sz val="10"/>
      <color rgb="FF334155"/>
      <name val="Calibri"/>
      <family val="2"/>
    </font>
    <font>
      <b/>
      <sz val="11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000000"/>
      <name val="Calibri"/>
      <family val="2"/>
    </font>
    <font>
      <b/>
      <sz val="9"/>
      <color rgb="FF64748B"/>
      <name val="Calibri"/>
      <family val="2"/>
    </font>
    <font>
      <b/>
      <sz val="20"/>
      <color rgb="FF1E3A5F"/>
      <name val="Calibri"/>
      <family val="2"/>
    </font>
    <font>
      <b/>
      <sz val="16"/>
      <color rgb="FF1E3A5F"/>
      <name val="Calibri"/>
      <family val="2"/>
    </font>
    <font>
      <sz val="9"/>
      <color rgb="FF475569"/>
      <name val="Calibri"/>
      <family val="2"/>
    </font>
    <font>
      <b/>
      <sz val="10"/>
      <color rgb="FF065F46"/>
      <name val="Calibri"/>
      <family val="2"/>
    </font>
    <font>
      <b/>
      <sz val="10"/>
      <color rgb="FF0E7490"/>
      <name val="Calibri"/>
      <family val="2"/>
    </font>
    <font>
      <b/>
      <sz val="10"/>
      <color rgb="FF713F12"/>
      <name val="Calibri"/>
      <family val="2"/>
    </font>
    <font>
      <b/>
      <sz val="10"/>
      <color rgb="FF7F1D1D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F1F5F9"/>
      </patternFill>
    </fill>
    <fill>
      <patternFill patternType="solid">
        <fgColor rgb="FFFEFCE8"/>
      </patternFill>
    </fill>
    <fill>
      <patternFill patternType="solid">
        <fgColor rgb="FF334155"/>
      </patternFill>
    </fill>
    <fill>
      <patternFill patternType="solid">
        <fgColor rgb="FFDBEAFE"/>
      </patternFill>
    </fill>
    <fill>
      <patternFill patternType="solid">
        <fgColor rgb="FFF8FAFC"/>
      </patternFill>
    </fill>
    <fill>
      <patternFill patternType="solid">
        <fgColor rgb="FFFFFFFF"/>
      </patternFill>
    </fill>
    <fill>
      <patternFill patternType="solid">
        <fgColor rgb="FF3B82F6"/>
      </patternFill>
    </fill>
    <fill>
      <patternFill patternType="solid">
        <fgColor rgb="FFE2E8F0"/>
      </patternFill>
    </fill>
    <fill>
      <patternFill patternType="solid">
        <fgColor rgb="FFEDE9FE"/>
      </patternFill>
    </fill>
    <fill>
      <patternFill patternType="solid">
        <fgColor rgb="FF8B5CF6"/>
      </patternFill>
    </fill>
    <fill>
      <patternFill patternType="solid">
        <fgColor rgb="FFD1FAE5"/>
      </patternFill>
    </fill>
    <fill>
      <patternFill patternType="solid">
        <fgColor rgb="FF10B981"/>
      </patternFill>
    </fill>
    <fill>
      <patternFill patternType="solid">
        <fgColor rgb="FFFEF3C7"/>
      </patternFill>
    </fill>
    <fill>
      <patternFill patternType="solid">
        <fgColor rgb="FFF59E0B"/>
      </patternFill>
    </fill>
    <fill>
      <patternFill patternType="solid">
        <fgColor rgb="FFFEE2E2"/>
      </patternFill>
    </fill>
    <fill>
      <patternFill patternType="solid">
        <fgColor rgb="FFEF4444"/>
      </patternFill>
    </fill>
    <fill>
      <patternFill patternType="solid">
        <fgColor rgb="FFEFF6FF"/>
      </patternFill>
    </fill>
    <fill>
      <patternFill patternType="solid">
        <fgColor rgb="FFF0FDF4"/>
      </patternFill>
    </fill>
    <fill>
      <patternFill patternType="solid">
        <fgColor rgb="FF7F1D1D"/>
      </patternFill>
    </fill>
    <fill>
      <patternFill patternType="solid">
        <fgColor rgb="FFFEF9C3"/>
      </patternFill>
    </fill>
    <fill>
      <patternFill patternType="solid">
        <fgColor rgb="FF475569"/>
      </patternFill>
    </fill>
    <fill>
      <patternFill patternType="solid">
        <fgColor rgb="FFCFFAFE"/>
      </patternFill>
    </fill>
  </fills>
  <borders count="9">
    <border>
      <left/>
      <right/>
      <top/>
      <bottom/>
      <diagonal/>
    </border>
    <border>
      <left/>
      <right/>
      <top/>
      <bottom style="thin">
        <color rgb="FFC0C0C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 style="medium">
        <color rgb="FF404040"/>
      </left>
      <right style="medium">
        <color rgb="FF404040"/>
      </right>
      <top style="medium">
        <color rgb="FF40404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medium">
        <color rgb="FF404040"/>
      </bottom>
      <diagonal/>
    </border>
    <border>
      <left style="medium">
        <color rgb="FF404040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/>
      <right/>
      <top/>
      <bottom style="medium">
        <color rgb="FF404040"/>
      </bottom>
      <diagonal/>
    </border>
    <border>
      <left/>
      <right/>
      <top/>
      <bottom style="thin">
        <color rgb="FFC0C0C0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4" fillId="3" borderId="0" xfId="0" applyFont="1" applyFill="1" applyAlignment="1">
      <alignment horizontal="right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left" vertical="center" wrapText="1"/>
    </xf>
    <xf numFmtId="0" fontId="7" fillId="7" borderId="0" xfId="0" applyFont="1" applyFill="1" applyAlignment="1">
      <alignment horizontal="center" vertical="center"/>
    </xf>
    <xf numFmtId="0" fontId="5" fillId="8" borderId="0" xfId="0" applyFont="1" applyFill="1" applyAlignment="1">
      <alignment horizontal="left" vertical="center" wrapText="1"/>
    </xf>
    <xf numFmtId="0" fontId="8" fillId="4" borderId="4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left" vertical="center" wrapText="1"/>
    </xf>
    <xf numFmtId="164" fontId="10" fillId="0" borderId="0" xfId="0" applyNumberFormat="1" applyFont="1" applyAlignment="1">
      <alignment horizontal="right" vertical="center"/>
    </xf>
    <xf numFmtId="0" fontId="11" fillId="9" borderId="5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left" vertical="center"/>
    </xf>
    <xf numFmtId="1" fontId="12" fillId="10" borderId="5" xfId="0" applyNumberFormat="1" applyFont="1" applyFill="1" applyBorder="1" applyAlignment="1">
      <alignment horizontal="center" vertical="center"/>
    </xf>
    <xf numFmtId="0" fontId="9" fillId="10" borderId="5" xfId="0" applyFont="1" applyFill="1" applyBorder="1" applyAlignment="1">
      <alignment horizontal="left" vertical="center"/>
    </xf>
    <xf numFmtId="2" fontId="4" fillId="10" borderId="5" xfId="0" applyNumberFormat="1" applyFont="1" applyFill="1" applyBorder="1" applyAlignment="1">
      <alignment horizontal="right" vertical="center"/>
    </xf>
    <xf numFmtId="0" fontId="11" fillId="12" borderId="5" xfId="0" applyFont="1" applyFill="1" applyBorder="1" applyAlignment="1">
      <alignment horizontal="center" vertical="center"/>
    </xf>
    <xf numFmtId="0" fontId="11" fillId="14" borderId="5" xfId="0" applyFont="1" applyFill="1" applyBorder="1" applyAlignment="1">
      <alignment horizontal="center" vertical="center"/>
    </xf>
    <xf numFmtId="0" fontId="11" fillId="16" borderId="5" xfId="0" applyFont="1" applyFill="1" applyBorder="1" applyAlignment="1">
      <alignment horizontal="center" vertical="center"/>
    </xf>
    <xf numFmtId="0" fontId="11" fillId="18" borderId="5" xfId="0" applyFont="1" applyFill="1" applyBorder="1" applyAlignment="1">
      <alignment horizontal="center" vertical="center"/>
    </xf>
    <xf numFmtId="0" fontId="0" fillId="19" borderId="1" xfId="0" applyFill="1" applyBorder="1"/>
    <xf numFmtId="0" fontId="4" fillId="19" borderId="1" xfId="0" applyFont="1" applyFill="1" applyBorder="1" applyAlignment="1">
      <alignment horizontal="right" vertical="center"/>
    </xf>
    <xf numFmtId="0" fontId="18" fillId="19" borderId="1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0" fontId="0" fillId="20" borderId="1" xfId="0" applyFill="1" applyBorder="1"/>
    <xf numFmtId="0" fontId="4" fillId="20" borderId="1" xfId="0" applyFont="1" applyFill="1" applyBorder="1" applyAlignment="1">
      <alignment horizontal="right" vertical="center"/>
    </xf>
    <xf numFmtId="0" fontId="21" fillId="20" borderId="1" xfId="0" applyFont="1" applyFill="1" applyBorder="1" applyAlignment="1">
      <alignment horizontal="center" vertical="center"/>
    </xf>
    <xf numFmtId="0" fontId="0" fillId="7" borderId="7" xfId="0" applyFill="1" applyBorder="1"/>
    <xf numFmtId="0" fontId="12" fillId="7" borderId="7" xfId="0" applyFont="1" applyFill="1" applyBorder="1" applyAlignment="1">
      <alignment horizontal="right" vertical="center"/>
    </xf>
    <xf numFmtId="0" fontId="18" fillId="7" borderId="7" xfId="0" applyFont="1" applyFill="1" applyBorder="1" applyAlignment="1">
      <alignment horizontal="center" vertical="center"/>
    </xf>
    <xf numFmtId="0" fontId="0" fillId="7" borderId="1" xfId="0" applyFill="1" applyBorder="1"/>
    <xf numFmtId="0" fontId="4" fillId="7" borderId="1" xfId="0" applyFont="1" applyFill="1" applyBorder="1" applyAlignment="1">
      <alignment horizontal="right" vertical="center"/>
    </xf>
    <xf numFmtId="0" fontId="22" fillId="7" borderId="1" xfId="0" applyFont="1" applyFill="1" applyBorder="1" applyAlignment="1">
      <alignment horizontal="left" vertical="center" wrapText="1"/>
    </xf>
    <xf numFmtId="0" fontId="11" fillId="9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0" fontId="11" fillId="14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>
      <alignment horizontal="center" vertical="center"/>
    </xf>
    <xf numFmtId="0" fontId="11" fillId="18" borderId="1" xfId="0" applyFont="1" applyFill="1" applyBorder="1" applyAlignment="1">
      <alignment horizontal="center" vertical="center"/>
    </xf>
    <xf numFmtId="0" fontId="11" fillId="23" borderId="0" xfId="0" applyFont="1" applyFill="1" applyAlignment="1">
      <alignment horizontal="center" vertical="center"/>
    </xf>
    <xf numFmtId="0" fontId="0" fillId="9" borderId="1" xfId="0" applyFill="1" applyBorder="1"/>
    <xf numFmtId="0" fontId="24" fillId="6" borderId="1" xfId="0" applyFont="1" applyFill="1" applyBorder="1" applyAlignment="1">
      <alignment horizontal="left" vertical="center"/>
    </xf>
    <xf numFmtId="0" fontId="25" fillId="6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165" fontId="25" fillId="6" borderId="1" xfId="0" applyNumberFormat="1" applyFont="1" applyFill="1" applyBorder="1" applyAlignment="1">
      <alignment horizontal="center" vertical="center"/>
    </xf>
    <xf numFmtId="164" fontId="24" fillId="6" borderId="1" xfId="0" applyNumberFormat="1" applyFont="1" applyFill="1" applyBorder="1" applyAlignment="1">
      <alignment horizontal="center" vertical="center"/>
    </xf>
    <xf numFmtId="0" fontId="24" fillId="6" borderId="1" xfId="0" applyFont="1" applyFill="1" applyBorder="1" applyAlignment="1">
      <alignment horizontal="center" vertical="center"/>
    </xf>
    <xf numFmtId="0" fontId="0" fillId="12" borderId="1" xfId="0" applyFill="1" applyBorder="1"/>
    <xf numFmtId="0" fontId="24" fillId="11" borderId="1" xfId="0" applyFont="1" applyFill="1" applyBorder="1" applyAlignment="1">
      <alignment horizontal="left" vertical="center"/>
    </xf>
    <xf numFmtId="0" fontId="25" fillId="11" borderId="1" xfId="0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center"/>
    </xf>
    <xf numFmtId="165" fontId="25" fillId="11" borderId="1" xfId="0" applyNumberFormat="1" applyFont="1" applyFill="1" applyBorder="1" applyAlignment="1">
      <alignment horizontal="center" vertical="center"/>
    </xf>
    <xf numFmtId="164" fontId="24" fillId="11" borderId="1" xfId="0" applyNumberFormat="1" applyFont="1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0" fillId="14" borderId="1" xfId="0" applyFill="1" applyBorder="1"/>
    <xf numFmtId="0" fontId="24" fillId="13" borderId="1" xfId="0" applyFont="1" applyFill="1" applyBorder="1" applyAlignment="1">
      <alignment horizontal="left" vertical="center"/>
    </xf>
    <xf numFmtId="0" fontId="25" fillId="13" borderId="1" xfId="0" applyFont="1" applyFill="1" applyBorder="1" applyAlignment="1">
      <alignment horizontal="center" vertical="center"/>
    </xf>
    <xf numFmtId="0" fontId="10" fillId="13" borderId="1" xfId="0" applyFont="1" applyFill="1" applyBorder="1" applyAlignment="1">
      <alignment horizontal="center" vertical="center"/>
    </xf>
    <xf numFmtId="165" fontId="25" fillId="13" borderId="1" xfId="0" applyNumberFormat="1" applyFont="1" applyFill="1" applyBorder="1" applyAlignment="1">
      <alignment horizontal="center" vertical="center"/>
    </xf>
    <xf numFmtId="164" fontId="24" fillId="13" borderId="1" xfId="0" applyNumberFormat="1" applyFont="1" applyFill="1" applyBorder="1" applyAlignment="1">
      <alignment horizontal="center" vertical="center"/>
    </xf>
    <xf numFmtId="0" fontId="24" fillId="13" borderId="1" xfId="0" applyFont="1" applyFill="1" applyBorder="1" applyAlignment="1">
      <alignment horizontal="center" vertical="center"/>
    </xf>
    <xf numFmtId="0" fontId="0" fillId="16" borderId="1" xfId="0" applyFill="1" applyBorder="1"/>
    <xf numFmtId="0" fontId="24" fillId="15" borderId="1" xfId="0" applyFont="1" applyFill="1" applyBorder="1" applyAlignment="1">
      <alignment horizontal="left" vertical="center"/>
    </xf>
    <xf numFmtId="0" fontId="25" fillId="15" borderId="1" xfId="0" applyFont="1" applyFill="1" applyBorder="1" applyAlignment="1">
      <alignment horizontal="center" vertical="center"/>
    </xf>
    <xf numFmtId="0" fontId="10" fillId="15" borderId="1" xfId="0" applyFont="1" applyFill="1" applyBorder="1" applyAlignment="1">
      <alignment horizontal="center" vertical="center"/>
    </xf>
    <xf numFmtId="165" fontId="25" fillId="15" borderId="1" xfId="0" applyNumberFormat="1" applyFont="1" applyFill="1" applyBorder="1" applyAlignment="1">
      <alignment horizontal="center" vertical="center"/>
    </xf>
    <xf numFmtId="164" fontId="24" fillId="15" borderId="1" xfId="0" applyNumberFormat="1" applyFont="1" applyFill="1" applyBorder="1" applyAlignment="1">
      <alignment horizontal="center" vertical="center"/>
    </xf>
    <xf numFmtId="0" fontId="24" fillId="15" borderId="1" xfId="0" applyFont="1" applyFill="1" applyBorder="1" applyAlignment="1">
      <alignment horizontal="center" vertical="center"/>
    </xf>
    <xf numFmtId="0" fontId="0" fillId="18" borderId="1" xfId="0" applyFill="1" applyBorder="1"/>
    <xf numFmtId="0" fontId="24" fillId="17" borderId="1" xfId="0" applyFont="1" applyFill="1" applyBorder="1" applyAlignment="1">
      <alignment horizontal="left" vertical="center"/>
    </xf>
    <xf numFmtId="0" fontId="25" fillId="17" borderId="1" xfId="0" applyFont="1" applyFill="1" applyBorder="1" applyAlignment="1">
      <alignment horizontal="center" vertical="center"/>
    </xf>
    <xf numFmtId="0" fontId="10" fillId="17" borderId="1" xfId="0" applyFont="1" applyFill="1" applyBorder="1" applyAlignment="1">
      <alignment horizontal="center" vertical="center"/>
    </xf>
    <xf numFmtId="165" fontId="25" fillId="17" borderId="1" xfId="0" applyNumberFormat="1" applyFont="1" applyFill="1" applyBorder="1" applyAlignment="1">
      <alignment horizontal="center" vertical="center"/>
    </xf>
    <xf numFmtId="164" fontId="24" fillId="17" borderId="1" xfId="0" applyNumberFormat="1" applyFont="1" applyFill="1" applyBorder="1" applyAlignment="1">
      <alignment horizontal="center" vertical="center"/>
    </xf>
    <xf numFmtId="0" fontId="24" fillId="17" borderId="1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 wrapText="1"/>
    </xf>
    <xf numFmtId="0" fontId="29" fillId="7" borderId="1" xfId="0" applyFont="1" applyFill="1" applyBorder="1" applyAlignment="1">
      <alignment horizontal="center" vertical="center"/>
    </xf>
    <xf numFmtId="0" fontId="30" fillId="13" borderId="1" xfId="0" applyFont="1" applyFill="1" applyBorder="1" applyAlignment="1">
      <alignment horizontal="center" vertical="center"/>
    </xf>
    <xf numFmtId="0" fontId="31" fillId="24" borderId="1" xfId="0" applyFont="1" applyFill="1" applyBorder="1" applyAlignment="1">
      <alignment horizontal="center" vertical="center"/>
    </xf>
    <xf numFmtId="0" fontId="32" fillId="22" borderId="1" xfId="0" applyFont="1" applyFill="1" applyBorder="1" applyAlignment="1">
      <alignment horizontal="center" vertical="center"/>
    </xf>
    <xf numFmtId="0" fontId="33" fillId="17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4" fillId="0" borderId="1" xfId="0" applyFont="1" applyBorder="1" applyAlignment="1">
      <alignment horizontal="left" vertical="center"/>
    </xf>
    <xf numFmtId="0" fontId="0" fillId="0" borderId="1" xfId="0" applyBorder="1"/>
    <xf numFmtId="0" fontId="19" fillId="19" borderId="1" xfId="0" applyFont="1" applyFill="1" applyBorder="1" applyAlignment="1">
      <alignment horizontal="left" vertical="center"/>
    </xf>
    <xf numFmtId="0" fontId="16" fillId="17" borderId="3" xfId="0" applyFont="1" applyFill="1" applyBorder="1" applyAlignment="1">
      <alignment horizontal="left" vertical="center"/>
    </xf>
    <xf numFmtId="0" fontId="0" fillId="0" borderId="0" xfId="0"/>
    <xf numFmtId="0" fontId="0" fillId="0" borderId="8" xfId="0" applyBorder="1"/>
    <xf numFmtId="0" fontId="5" fillId="4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3" fillId="21" borderId="6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left" vertical="center"/>
    </xf>
    <xf numFmtId="0" fontId="13" fillId="11" borderId="3" xfId="0" applyFont="1" applyFill="1" applyBorder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19" fillId="7" borderId="7" xfId="0" applyFont="1" applyFill="1" applyBorder="1" applyAlignment="1">
      <alignment horizontal="left" vertical="center"/>
    </xf>
    <xf numFmtId="0" fontId="0" fillId="0" borderId="7" xfId="0" applyBorder="1"/>
    <xf numFmtId="0" fontId="6" fillId="6" borderId="3" xfId="0" applyFont="1" applyFill="1" applyBorder="1" applyAlignment="1">
      <alignment horizontal="left" vertical="center"/>
    </xf>
    <xf numFmtId="0" fontId="14" fillId="13" borderId="3" xfId="0" applyFont="1" applyFill="1" applyBorder="1" applyAlignment="1">
      <alignment horizontal="left" vertical="center"/>
    </xf>
    <xf numFmtId="0" fontId="15" fillId="15" borderId="3" xfId="0" applyFont="1" applyFill="1" applyBorder="1" applyAlignment="1">
      <alignment horizontal="left" vertical="center"/>
    </xf>
    <xf numFmtId="0" fontId="17" fillId="2" borderId="6" xfId="0" applyFont="1" applyFill="1" applyBorder="1" applyAlignment="1">
      <alignment horizontal="center" vertical="center"/>
    </xf>
    <xf numFmtId="0" fontId="9" fillId="24" borderId="1" xfId="0" applyFont="1" applyFill="1" applyBorder="1" applyAlignment="1">
      <alignment horizontal="left" vertical="center" wrapText="1"/>
    </xf>
    <xf numFmtId="0" fontId="23" fillId="5" borderId="0" xfId="0" applyFont="1" applyFill="1" applyAlignment="1">
      <alignment horizontal="center" vertical="center"/>
    </xf>
    <xf numFmtId="0" fontId="18" fillId="22" borderId="4" xfId="0" applyFont="1" applyFill="1" applyBorder="1" applyAlignment="1">
      <alignment horizontal="center" vertical="center"/>
    </xf>
    <xf numFmtId="0" fontId="9" fillId="22" borderId="1" xfId="0" applyFont="1" applyFill="1" applyBorder="1" applyAlignment="1">
      <alignment horizontal="left" vertical="center" wrapText="1"/>
    </xf>
    <xf numFmtId="0" fontId="28" fillId="13" borderId="4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 wrapText="1"/>
    </xf>
    <xf numFmtId="0" fontId="26" fillId="3" borderId="0" xfId="0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9" fillId="17" borderId="1" xfId="0" applyFont="1" applyFill="1" applyBorder="1" applyAlignment="1">
      <alignment horizontal="left" vertical="center" wrapText="1"/>
    </xf>
    <xf numFmtId="0" fontId="9" fillId="13" borderId="1" xfId="0" applyFont="1" applyFill="1" applyBorder="1" applyAlignment="1">
      <alignment horizontal="left" vertical="center" wrapText="1"/>
    </xf>
    <xf numFmtId="0" fontId="9" fillId="7" borderId="0" xfId="0" applyFont="1" applyFill="1" applyAlignment="1">
      <alignment horizontal="center" vertical="center" wrapText="1"/>
    </xf>
    <xf numFmtId="0" fontId="27" fillId="6" borderId="4" xfId="0" applyFont="1" applyFill="1" applyBorder="1" applyAlignment="1">
      <alignment horizontal="center" vertical="center"/>
    </xf>
  </cellXfs>
  <cellStyles count="1">
    <cellStyle name="Normal" xfId="0" builtinId="0"/>
  </cellStyles>
  <dxfs count="23">
    <dxf>
      <font>
        <b/>
        <sz val="14"/>
        <color rgb="FF065F46"/>
      </font>
      <fill>
        <patternFill patternType="solid">
          <fgColor rgb="FFD1FAE5"/>
        </patternFill>
      </fill>
    </dxf>
    <dxf>
      <font>
        <b/>
        <sz val="14"/>
        <color rgb="FF7F1D1D"/>
      </font>
      <fill>
        <patternFill patternType="solid">
          <fgColor rgb="FFFEE2E2"/>
        </patternFill>
      </fill>
    </dxf>
    <dxf>
      <font>
        <b/>
        <sz val="14"/>
        <color rgb="FF713F12"/>
      </font>
      <fill>
        <patternFill patternType="solid">
          <fgColor rgb="FFFEF9C3"/>
        </patternFill>
      </fill>
    </dxf>
    <dxf>
      <font>
        <b/>
        <color rgb="FF065F46"/>
      </font>
      <fill>
        <patternFill patternType="solid">
          <fgColor rgb="FFD1FAE5"/>
        </patternFill>
      </fill>
    </dxf>
    <dxf>
      <font>
        <b/>
        <color rgb="FF713F12"/>
      </font>
      <fill>
        <patternFill patternType="solid">
          <fgColor rgb="FFFEF9C3"/>
        </patternFill>
      </fill>
    </dxf>
    <dxf>
      <font>
        <b/>
        <color rgb="FF7C2D12"/>
      </font>
      <fill>
        <patternFill patternType="solid">
          <fgColor rgb="FFFED7AA"/>
        </patternFill>
      </fill>
    </dxf>
    <dxf>
      <font>
        <b/>
        <color rgb="FF7F1D1D"/>
      </font>
      <fill>
        <patternFill patternType="solid">
          <fgColor rgb="FFFEE2E2"/>
        </patternFill>
      </fill>
    </dxf>
    <dxf>
      <font>
        <b/>
        <color rgb="FF065F46"/>
      </font>
      <fill>
        <patternFill patternType="solid">
          <fgColor rgb="FFD1FAE5"/>
        </patternFill>
      </fill>
    </dxf>
    <dxf>
      <font>
        <b/>
        <color rgb="FF713F12"/>
      </font>
      <fill>
        <patternFill patternType="solid">
          <fgColor rgb="FFFEF9C3"/>
        </patternFill>
      </fill>
    </dxf>
    <dxf>
      <font>
        <b/>
        <color rgb="FF7C2D12"/>
      </font>
      <fill>
        <patternFill patternType="solid">
          <fgColor rgb="FFFED7AA"/>
        </patternFill>
      </fill>
    </dxf>
    <dxf>
      <font>
        <b/>
        <color rgb="FF7F1D1D"/>
      </font>
      <fill>
        <patternFill patternType="solid">
          <fgColor rgb="FFFEE2E2"/>
        </patternFill>
      </fill>
    </dxf>
    <dxf>
      <font>
        <b/>
        <color rgb="FF065F46"/>
      </font>
      <fill>
        <patternFill patternType="solid">
          <fgColor rgb="FFD1FAE5"/>
        </patternFill>
      </fill>
    </dxf>
    <dxf>
      <font>
        <b/>
        <color rgb="FF713F12"/>
      </font>
      <fill>
        <patternFill patternType="solid">
          <fgColor rgb="FFFEF9C3"/>
        </patternFill>
      </fill>
    </dxf>
    <dxf>
      <font>
        <b/>
        <color rgb="FF7C2D12"/>
      </font>
      <fill>
        <patternFill patternType="solid">
          <fgColor rgb="FFFED7AA"/>
        </patternFill>
      </fill>
    </dxf>
    <dxf>
      <font>
        <b/>
        <color rgb="FF7F1D1D"/>
      </font>
      <fill>
        <patternFill patternType="solid">
          <fgColor rgb="FFFEE2E2"/>
        </patternFill>
      </fill>
    </dxf>
    <dxf>
      <font>
        <b/>
        <color rgb="FF713F12"/>
      </font>
      <fill>
        <patternFill patternType="solid">
          <fgColor rgb="FFFEF9C3"/>
        </patternFill>
      </fill>
    </dxf>
    <dxf>
      <font>
        <b/>
        <color rgb="FF7C2D12"/>
      </font>
      <fill>
        <patternFill patternType="solid">
          <fgColor rgb="FFFED7AA"/>
        </patternFill>
      </fill>
    </dxf>
    <dxf>
      <font>
        <b/>
        <color rgb="FF7F1D1D"/>
      </font>
      <fill>
        <patternFill patternType="solid">
          <fgColor rgb="FFFEE2E2"/>
        </patternFill>
      </fill>
    </dxf>
    <dxf>
      <font>
        <b/>
        <color rgb="FF065F46"/>
      </font>
      <fill>
        <patternFill patternType="solid">
          <fgColor rgb="FFD1FAE5"/>
        </patternFill>
      </fill>
    </dxf>
    <dxf>
      <font>
        <b/>
        <color rgb="FF065F46"/>
      </font>
      <fill>
        <patternFill patternType="solid">
          <fgColor rgb="FFD1FAE5"/>
        </patternFill>
      </fill>
    </dxf>
    <dxf>
      <font>
        <b/>
        <color rgb="FF7F1D1D"/>
      </font>
      <fill>
        <patternFill patternType="solid">
          <fgColor rgb="FFFEE2E2"/>
        </patternFill>
      </fill>
    </dxf>
    <dxf>
      <font>
        <b/>
        <color rgb="FF7C2D12"/>
      </font>
      <fill>
        <patternFill patternType="solid">
          <fgColor rgb="FFFED7AA"/>
        </patternFill>
      </fill>
    </dxf>
    <dxf>
      <font>
        <b/>
        <color rgb="FF713F12"/>
      </font>
      <fill>
        <patternFill patternType="solid">
          <fgColor rgb="FFFEF9C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Complexity Profile (% of Max)</a:t>
            </a:r>
          </a:p>
        </c:rich>
      </c:tx>
      <c:overlay val="1"/>
    </c:title>
    <c:autoTitleDeleted val="0"/>
    <c:plotArea>
      <c:layout/>
      <c:radarChart>
        <c:radarStyle val="filled"/>
        <c:varyColors val="1"/>
        <c:ser>
          <c:idx val="0"/>
          <c:order val="0"/>
          <c:tx>
            <c:strRef>
              <c:f>Dashboard!$E$10</c:f>
              <c:strCache>
                <c:ptCount val="1"/>
                <c:pt idx="0">
                  <c:v>% Score</c:v>
                </c:pt>
              </c:strCache>
            </c:strRef>
          </c:tx>
          <c:spPr>
            <a:solidFill>
              <a:srgbClr val="BFDBFE"/>
            </a:solidFill>
            <a:ln>
              <a:solidFill>
                <a:srgbClr val="3B82F6"/>
              </a:solidFill>
              <a:prstDash val="solid"/>
            </a:ln>
          </c:spPr>
          <c:cat>
            <c:strRef>
              <c:f>Dashboard!$B$11:$B$15</c:f>
              <c:strCache>
                <c:ptCount val="5"/>
                <c:pt idx="0">
                  <c:v>Dim 1: Protocol Design &amp; Study Complexity</c:v>
                </c:pt>
                <c:pt idx="1">
                  <c:v>Dim 2: Operational Execution &amp; Site Burden</c:v>
                </c:pt>
                <c:pt idx="2">
                  <c:v>Dim 3: Regulatory &amp; Oversight Requirements</c:v>
                </c:pt>
                <c:pt idx="3">
                  <c:v>Dim 4: Resource &amp; Workforce Capacity</c:v>
                </c:pt>
                <c:pt idx="4">
                  <c:v>Dim 5: Patient Population &amp; Recruitment</c:v>
                </c:pt>
              </c:strCache>
            </c:strRef>
          </c:cat>
          <c:val>
            <c:numRef>
              <c:f>Dashboard!$E$11:$E$15</c:f>
              <c:numCache>
                <c:formatCode>0"%"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EF-194B-AC68-731E7262F6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rad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Scored vs Max by Dimension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Raw Score</c:v>
          </c:tx>
          <c:spPr>
            <a:solidFill>
              <a:srgbClr val="3B82F6"/>
            </a:solidFill>
            <a:ln>
              <a:prstDash val="solid"/>
            </a:ln>
          </c:spPr>
          <c:invertIfNegative val="1"/>
          <c:cat>
            <c:strRef>
              <c:f>Dashboard!$B$11:$B$15</c:f>
              <c:strCache>
                <c:ptCount val="5"/>
                <c:pt idx="0">
                  <c:v>Dim 1: Protocol Design &amp; Study Complexity</c:v>
                </c:pt>
                <c:pt idx="1">
                  <c:v>Dim 2: Operational Execution &amp; Site Burden</c:v>
                </c:pt>
                <c:pt idx="2">
                  <c:v>Dim 3: Regulatory &amp; Oversight Requirements</c:v>
                </c:pt>
                <c:pt idx="3">
                  <c:v>Dim 4: Resource &amp; Workforce Capacity</c:v>
                </c:pt>
                <c:pt idx="4">
                  <c:v>Dim 5: Patient Population &amp; Recruitment</c:v>
                </c:pt>
              </c:strCache>
            </c:strRef>
          </c:cat>
          <c:val>
            <c:numRef>
              <c:f>Dashboard!$C$11:$C$15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9C4-1143-9F55-8754D774FA56}"/>
            </c:ext>
          </c:extLst>
        </c:ser>
        <c:ser>
          <c:idx val="1"/>
          <c:order val="1"/>
          <c:tx>
            <c:v>Max Score</c:v>
          </c:tx>
          <c:spPr>
            <a:solidFill>
              <a:srgbClr val="E2E8F0"/>
            </a:solidFill>
            <a:ln>
              <a:prstDash val="solid"/>
            </a:ln>
          </c:spPr>
          <c:invertIfNegative val="1"/>
          <c:cat>
            <c:strRef>
              <c:f>Dashboard!$B$11:$B$15</c:f>
              <c:strCache>
                <c:ptCount val="5"/>
                <c:pt idx="0">
                  <c:v>Dim 1: Protocol Design &amp; Study Complexity</c:v>
                </c:pt>
                <c:pt idx="1">
                  <c:v>Dim 2: Operational Execution &amp; Site Burden</c:v>
                </c:pt>
                <c:pt idx="2">
                  <c:v>Dim 3: Regulatory &amp; Oversight Requirements</c:v>
                </c:pt>
                <c:pt idx="3">
                  <c:v>Dim 4: Resource &amp; Workforce Capacity</c:v>
                </c:pt>
                <c:pt idx="4">
                  <c:v>Dim 5: Patient Population &amp; Recruitment</c:v>
                </c:pt>
              </c:strCache>
            </c:strRef>
          </c:cat>
          <c:val>
            <c:numRef>
              <c:f>Dashboard!$D$11:$D$15</c:f>
              <c:numCache>
                <c:formatCode>General</c:formatCode>
                <c:ptCount val="5"/>
                <c:pt idx="0">
                  <c:v>21</c:v>
                </c:pt>
                <c:pt idx="1">
                  <c:v>24</c:v>
                </c:pt>
                <c:pt idx="2">
                  <c:v>18</c:v>
                </c:pt>
                <c:pt idx="3">
                  <c:v>21</c:v>
                </c:pt>
                <c:pt idx="4">
                  <c:v>18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9C4-1143-9F55-8754D774FA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Dimension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16</xdr:row>
      <xdr:rowOff>0</xdr:rowOff>
    </xdr:from>
    <xdr:ext cx="50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16</xdr:row>
      <xdr:rowOff>0</xdr:rowOff>
    </xdr:from>
    <xdr:ext cx="5040000" cy="50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0"/>
  <sheetViews>
    <sheetView tabSelected="1" workbookViewId="0">
      <pane ySplit="7" topLeftCell="A51" activePane="bottomLeft" state="frozen"/>
      <selection pane="bottomLeft" sqref="A1:E1"/>
    </sheetView>
  </sheetViews>
  <sheetFormatPr baseColWidth="10" defaultColWidth="8.83203125" defaultRowHeight="15" x14ac:dyDescent="0.2"/>
  <cols>
    <col min="1" max="1" width="7" customWidth="1"/>
    <col min="2" max="2" width="33" customWidth="1"/>
    <col min="3" max="3" width="10" customWidth="1"/>
    <col min="4" max="4" width="46" customWidth="1"/>
    <col min="5" max="5" width="24" customWidth="1"/>
  </cols>
  <sheetData>
    <row r="1" spans="1:5" ht="36" customHeight="1" x14ac:dyDescent="0.2">
      <c r="A1" s="88" t="s">
        <v>0</v>
      </c>
      <c r="B1" s="85"/>
      <c r="C1" s="85"/>
      <c r="D1" s="85"/>
      <c r="E1" s="85"/>
    </row>
    <row r="2" spans="1:5" ht="18" customHeight="1" x14ac:dyDescent="0.2">
      <c r="A2" s="92" t="s">
        <v>1</v>
      </c>
      <c r="B2" s="85"/>
      <c r="C2" s="85"/>
      <c r="D2" s="85"/>
      <c r="E2" s="85"/>
    </row>
    <row r="3" spans="1:5" ht="20" customHeight="1" x14ac:dyDescent="0.2">
      <c r="A3" s="1" t="s">
        <v>2</v>
      </c>
      <c r="B3" s="87"/>
      <c r="C3" s="85"/>
      <c r="D3" s="85"/>
      <c r="E3" s="85"/>
    </row>
    <row r="4" spans="1:5" ht="20" customHeight="1" x14ac:dyDescent="0.2">
      <c r="A4" s="1" t="s">
        <v>3</v>
      </c>
      <c r="B4" s="87"/>
      <c r="C4" s="85"/>
      <c r="D4" s="85"/>
      <c r="E4" s="85"/>
    </row>
    <row r="5" spans="1:5" ht="20" customHeight="1" x14ac:dyDescent="0.2">
      <c r="A5" s="1" t="s">
        <v>4</v>
      </c>
      <c r="B5" s="87"/>
      <c r="C5" s="85"/>
      <c r="D5" s="85"/>
      <c r="E5" s="85"/>
    </row>
    <row r="6" spans="1:5" ht="20" customHeight="1" x14ac:dyDescent="0.2">
      <c r="A6" s="1" t="s">
        <v>5</v>
      </c>
      <c r="B6" s="87"/>
      <c r="C6" s="85"/>
      <c r="D6" s="85"/>
      <c r="E6" s="85"/>
    </row>
    <row r="7" spans="1:5" ht="24" customHeight="1" x14ac:dyDescent="0.2">
      <c r="A7" s="2" t="s">
        <v>6</v>
      </c>
      <c r="B7" s="3" t="s">
        <v>7</v>
      </c>
      <c r="C7" s="2" t="s">
        <v>8</v>
      </c>
      <c r="D7" s="3" t="s">
        <v>9</v>
      </c>
      <c r="E7" s="3" t="s">
        <v>10</v>
      </c>
    </row>
    <row r="8" spans="1:5" ht="22" customHeight="1" x14ac:dyDescent="0.2">
      <c r="A8" s="95" t="s">
        <v>11</v>
      </c>
      <c r="B8" s="85"/>
      <c r="C8" s="85"/>
      <c r="D8" s="85"/>
      <c r="E8" s="85"/>
    </row>
    <row r="9" spans="1:5" ht="30" customHeight="1" x14ac:dyDescent="0.2">
      <c r="A9" s="4" t="s">
        <v>12</v>
      </c>
      <c r="B9" s="5" t="s">
        <v>13</v>
      </c>
      <c r="C9" s="6"/>
      <c r="D9" s="7" t="str">
        <f>IFERROR(INDEX(Lookup!$B$2:$E$35,MATCH(A9,Lookup!$A$2:$A$35,0),C9+1),"")</f>
        <v>Phase IV / Observational</v>
      </c>
      <c r="E9" s="8">
        <f t="shared" ref="E9:E15" si="0">IF(ISNUMBER(C9),C9*1.2,0)</f>
        <v>0</v>
      </c>
    </row>
    <row r="10" spans="1:5" ht="30" customHeight="1" x14ac:dyDescent="0.2">
      <c r="A10" s="4" t="s">
        <v>14</v>
      </c>
      <c r="B10" s="5" t="s">
        <v>15</v>
      </c>
      <c r="C10" s="6"/>
      <c r="D10" s="7" t="str">
        <f>IFERROR(INDEX(Lookup!$B$2:$E$35,MATCH(A10,Lookup!$A$2:$A$35,0),C10+1),"")</f>
        <v>Simple parallel / observational</v>
      </c>
      <c r="E10" s="8">
        <f t="shared" si="0"/>
        <v>0</v>
      </c>
    </row>
    <row r="11" spans="1:5" ht="30" customHeight="1" x14ac:dyDescent="0.2">
      <c r="A11" s="4" t="s">
        <v>16</v>
      </c>
      <c r="B11" s="5" t="s">
        <v>17</v>
      </c>
      <c r="C11" s="6"/>
      <c r="D11" s="7" t="str">
        <f>IFERROR(INDEX(Lookup!$B$2:$E$35,MATCH(A11,Lookup!$A$2:$A$35,0),C11+1),"")</f>
        <v>Single / observational</v>
      </c>
      <c r="E11" s="8">
        <f t="shared" si="0"/>
        <v>0</v>
      </c>
    </row>
    <row r="12" spans="1:5" ht="30" customHeight="1" x14ac:dyDescent="0.2">
      <c r="A12" s="4" t="s">
        <v>18</v>
      </c>
      <c r="B12" s="5" t="s">
        <v>19</v>
      </c>
      <c r="C12" s="6"/>
      <c r="D12" s="7" t="str">
        <f>IFERROR(INDEX(Lookup!$B$2:$E$35,MATCH(A12,Lookup!$A$2:$A$35,0),C12+1),"")</f>
        <v>Broad (≤10 criteria)</v>
      </c>
      <c r="E12" s="8">
        <f t="shared" si="0"/>
        <v>0</v>
      </c>
    </row>
    <row r="13" spans="1:5" ht="30" customHeight="1" x14ac:dyDescent="0.2">
      <c r="A13" s="4" t="s">
        <v>20</v>
      </c>
      <c r="B13" s="5" t="s">
        <v>21</v>
      </c>
      <c r="C13" s="6"/>
      <c r="D13" s="7" t="str">
        <f>IFERROR(INDEX(Lookup!$B$2:$E$35,MATCH(A13,Lookup!$A$2:$A$35,0),C13+1),"")</f>
        <v>None required</v>
      </c>
      <c r="E13" s="8">
        <f t="shared" si="0"/>
        <v>0</v>
      </c>
    </row>
    <row r="14" spans="1:5" ht="30" customHeight="1" x14ac:dyDescent="0.2">
      <c r="A14" s="4" t="s">
        <v>22</v>
      </c>
      <c r="B14" s="5" t="s">
        <v>23</v>
      </c>
      <c r="C14" s="6"/>
      <c r="D14" s="7" t="str">
        <f>IFERROR(INDEX(Lookup!$B$2:$E$35,MATCH(A14,Lookup!$A$2:$A$35,0),C14+1),"")</f>
        <v>Simple clinical or survival endpoint</v>
      </c>
      <c r="E14" s="8">
        <f t="shared" si="0"/>
        <v>0</v>
      </c>
    </row>
    <row r="15" spans="1:5" ht="30" customHeight="1" x14ac:dyDescent="0.2">
      <c r="A15" s="4" t="s">
        <v>24</v>
      </c>
      <c r="B15" s="5" t="s">
        <v>25</v>
      </c>
      <c r="C15" s="6"/>
      <c r="D15" s="7" t="str">
        <f>IFERROR(INDEX(Lookup!$B$2:$E$35,MATCH(A15,Lookup!$A$2:$A$35,0),C15+1),"")</f>
        <v>Stable — no amendments anticipated</v>
      </c>
      <c r="E15" s="8">
        <f t="shared" si="0"/>
        <v>0</v>
      </c>
    </row>
    <row r="16" spans="1:5" ht="20" customHeight="1" x14ac:dyDescent="0.2">
      <c r="A16" s="9" t="s">
        <v>26</v>
      </c>
      <c r="B16" s="10" t="s">
        <v>27</v>
      </c>
      <c r="C16" s="11">
        <f>SUM(C9:C15)</f>
        <v>0</v>
      </c>
      <c r="D16" s="12" t="str">
        <f>C16&amp;" / 21 raw  (⚑ RED FLAG if &gt; 15)"</f>
        <v>0 / 21 raw  (⚑ RED FLAG if &gt; 15)</v>
      </c>
      <c r="E16" s="13">
        <f>SUM(E9:E15)</f>
        <v>0</v>
      </c>
    </row>
    <row r="18" spans="1:5" ht="22" customHeight="1" x14ac:dyDescent="0.2">
      <c r="A18" s="91" t="s">
        <v>28</v>
      </c>
      <c r="B18" s="85"/>
      <c r="C18" s="85"/>
      <c r="D18" s="85"/>
      <c r="E18" s="85"/>
    </row>
    <row r="19" spans="1:5" ht="30" customHeight="1" x14ac:dyDescent="0.2">
      <c r="A19" s="4" t="s">
        <v>29</v>
      </c>
      <c r="B19" s="5" t="s">
        <v>30</v>
      </c>
      <c r="C19" s="6"/>
      <c r="D19" s="7" t="str">
        <f>IFERROR(INDEX(Lookup!$B$2:$E$35,MATCH(A19,Lookup!$A$2:$A$35,0),C19+1),"")</f>
        <v>≤5 visits</v>
      </c>
      <c r="E19" s="8">
        <f t="shared" ref="E19:E26" si="1">IF(ISNUMBER(C19),C19*1.5,0)</f>
        <v>0</v>
      </c>
    </row>
    <row r="20" spans="1:5" ht="30" customHeight="1" x14ac:dyDescent="0.2">
      <c r="A20" s="4" t="s">
        <v>31</v>
      </c>
      <c r="B20" s="5" t="s">
        <v>32</v>
      </c>
      <c r="C20" s="6"/>
      <c r="D20" s="7" t="str">
        <f>IFERROR(INDEX(Lookup!$B$2:$E$35,MATCH(A20,Lookup!$A$2:$A$35,0),C20+1),"")</f>
        <v>&lt;1 hour — routine visit</v>
      </c>
      <c r="E20" s="8">
        <f t="shared" si="1"/>
        <v>0</v>
      </c>
    </row>
    <row r="21" spans="1:5" ht="30" customHeight="1" x14ac:dyDescent="0.2">
      <c r="A21" s="4" t="s">
        <v>33</v>
      </c>
      <c r="B21" s="5" t="s">
        <v>34</v>
      </c>
      <c r="C21" s="6"/>
      <c r="D21" s="7" t="str">
        <f>IFERROR(INDEX(Lookup!$B$2:$E$35,MATCH(A21,Lookup!$A$2:$A$35,0),C21+1),"")</f>
        <v>Routine vitals and labs</v>
      </c>
      <c r="E21" s="8">
        <f t="shared" si="1"/>
        <v>0</v>
      </c>
    </row>
    <row r="22" spans="1:5" ht="30" customHeight="1" x14ac:dyDescent="0.2">
      <c r="A22" s="4" t="s">
        <v>35</v>
      </c>
      <c r="B22" s="5" t="s">
        <v>36</v>
      </c>
      <c r="C22" s="6"/>
      <c r="D22" s="7" t="str">
        <f>IFERROR(INDEX(Lookup!$B$2:$E$35,MATCH(A22,Lookup!$A$2:$A$35,0),C22+1),"")</f>
        <v>Simple eCRF — minimal fields</v>
      </c>
      <c r="E22" s="8">
        <f t="shared" si="1"/>
        <v>0</v>
      </c>
    </row>
    <row r="23" spans="1:5" ht="30" customHeight="1" x14ac:dyDescent="0.2">
      <c r="A23" s="4" t="s">
        <v>37</v>
      </c>
      <c r="B23" s="5" t="s">
        <v>38</v>
      </c>
      <c r="C23" s="6"/>
      <c r="D23" s="7" t="str">
        <f>IFERROR(INDEX(Lookup!$B$2:$E$35,MATCH(A23,Lookup!$A$2:$A$35,0),C23+1),"")</f>
        <v>Remote or annual on-site monitoring</v>
      </c>
      <c r="E23" s="8">
        <f t="shared" si="1"/>
        <v>0</v>
      </c>
    </row>
    <row r="24" spans="1:5" ht="30" customHeight="1" x14ac:dyDescent="0.2">
      <c r="A24" s="4" t="s">
        <v>39</v>
      </c>
      <c r="B24" s="5" t="s">
        <v>40</v>
      </c>
      <c r="C24" s="6"/>
      <c r="D24" s="7" t="str">
        <f>IFERROR(INDEX(Lookup!$B$2:$E$35,MATCH(A24,Lookup!$A$2:$A$35,0),C24+1),"")</f>
        <v>Oral drug — simple dispensing</v>
      </c>
      <c r="E24" s="8">
        <f t="shared" si="1"/>
        <v>0</v>
      </c>
    </row>
    <row r="25" spans="1:5" ht="30" customHeight="1" x14ac:dyDescent="0.2">
      <c r="A25" s="4" t="s">
        <v>41</v>
      </c>
      <c r="B25" s="5" t="s">
        <v>42</v>
      </c>
      <c r="C25" s="6"/>
      <c r="D25" s="7" t="str">
        <f>IFERROR(INDEX(Lookup!$B$2:$E$35,MATCH(A25,Lookup!$A$2:$A$35,0),C25+1),"")</f>
        <v>None required</v>
      </c>
      <c r="E25" s="8">
        <f t="shared" si="1"/>
        <v>0</v>
      </c>
    </row>
    <row r="26" spans="1:5" ht="30" customHeight="1" x14ac:dyDescent="0.2">
      <c r="A26" s="4" t="s">
        <v>43</v>
      </c>
      <c r="B26" s="5" t="s">
        <v>44</v>
      </c>
      <c r="C26" s="6"/>
      <c r="D26" s="7" t="str">
        <f>IFERROR(INDEX(Lookup!$B$2:$E$35,MATCH(A26,Lookup!$A$2:$A$35,0),C26+1),"")</f>
        <v>Standard adverse event (AE) reporting</v>
      </c>
      <c r="E26" s="8">
        <f t="shared" si="1"/>
        <v>0</v>
      </c>
    </row>
    <row r="27" spans="1:5" ht="20" customHeight="1" x14ac:dyDescent="0.2">
      <c r="A27" s="14" t="s">
        <v>45</v>
      </c>
      <c r="B27" s="10" t="s">
        <v>46</v>
      </c>
      <c r="C27" s="11">
        <f>SUM(C19:C26)</f>
        <v>0</v>
      </c>
      <c r="D27" s="12" t="str">
        <f>C27&amp;" / 24 raw  (⚑ RED FLAG if &gt; 17)"</f>
        <v>0 / 24 raw  (⚑ RED FLAG if &gt; 17)</v>
      </c>
      <c r="E27" s="13">
        <f>SUM(E19:E26)</f>
        <v>0</v>
      </c>
    </row>
    <row r="29" spans="1:5" ht="22" customHeight="1" x14ac:dyDescent="0.2">
      <c r="A29" s="96" t="s">
        <v>47</v>
      </c>
      <c r="B29" s="85"/>
      <c r="C29" s="85"/>
      <c r="D29" s="85"/>
      <c r="E29" s="85"/>
    </row>
    <row r="30" spans="1:5" ht="30" customHeight="1" x14ac:dyDescent="0.2">
      <c r="A30" s="4" t="s">
        <v>48</v>
      </c>
      <c r="B30" s="5" t="s">
        <v>49</v>
      </c>
      <c r="C30" s="6"/>
      <c r="D30" s="7" t="str">
        <f>IFERROR(INDEX(Lookup!$B$2:$E$35,MATCH(A30,Lookup!$A$2:$A$35,0),C30+1),"")</f>
        <v>Standard review process</v>
      </c>
      <c r="E30" s="8">
        <f t="shared" ref="E30:E35" si="2">IF(ISNUMBER(C30),C30*1,0)</f>
        <v>0</v>
      </c>
    </row>
    <row r="31" spans="1:5" ht="30" customHeight="1" x14ac:dyDescent="0.2">
      <c r="A31" s="4" t="s">
        <v>50</v>
      </c>
      <c r="B31" s="5" t="s">
        <v>51</v>
      </c>
      <c r="C31" s="6"/>
      <c r="D31" s="7" t="str">
        <f>IFERROR(INDEX(Lookup!$B$2:$E$35,MATCH(A31,Lookup!$A$2:$A$35,0),C31+1),"")</f>
        <v>None required</v>
      </c>
      <c r="E31" s="8">
        <f t="shared" si="2"/>
        <v>0</v>
      </c>
    </row>
    <row r="32" spans="1:5" ht="30" customHeight="1" x14ac:dyDescent="0.2">
      <c r="A32" s="4" t="s">
        <v>52</v>
      </c>
      <c r="B32" s="5" t="s">
        <v>53</v>
      </c>
      <c r="C32" s="6"/>
      <c r="D32" s="7" t="str">
        <f>IFERROR(INDEX(Lookup!$B$2:$E$35,MATCH(A32,Lookup!$A$2:$A$35,0),C32+1),"")</f>
        <v>Standard single-signature consent</v>
      </c>
      <c r="E32" s="8">
        <f t="shared" si="2"/>
        <v>0</v>
      </c>
    </row>
    <row r="33" spans="1:5" ht="30" customHeight="1" x14ac:dyDescent="0.2">
      <c r="A33" s="4" t="s">
        <v>54</v>
      </c>
      <c r="B33" s="5" t="s">
        <v>55</v>
      </c>
      <c r="C33" s="6"/>
      <c r="D33" s="7" t="str">
        <f>IFERROR(INDEX(Lookup!$B$2:$E$35,MATCH(A33,Lookup!$A$2:$A$35,0),C33+1),"")</f>
        <v>Standard HIPAA compliance</v>
      </c>
      <c r="E33" s="8">
        <f t="shared" si="2"/>
        <v>0</v>
      </c>
    </row>
    <row r="34" spans="1:5" ht="30" customHeight="1" x14ac:dyDescent="0.2">
      <c r="A34" s="4" t="s">
        <v>56</v>
      </c>
      <c r="B34" s="5" t="s">
        <v>57</v>
      </c>
      <c r="C34" s="6"/>
      <c r="D34" s="7" t="str">
        <f>IFERROR(INDEX(Lookup!$B$2:$E$35,MATCH(A34,Lookup!$A$2:$A$35,0),C34+1),"")</f>
        <v>None required</v>
      </c>
      <c r="E34" s="8">
        <f t="shared" si="2"/>
        <v>0</v>
      </c>
    </row>
    <row r="35" spans="1:5" ht="30" customHeight="1" x14ac:dyDescent="0.2">
      <c r="A35" s="4" t="s">
        <v>58</v>
      </c>
      <c r="B35" s="5" t="s">
        <v>59</v>
      </c>
      <c r="C35" s="6"/>
      <c r="D35" s="7" t="str">
        <f>IFERROR(INDEX(Lookup!$B$2:$E$35,MATCH(A35,Lookup!$A$2:$A$35,0),C35+1),"")</f>
        <v>Low risk — standard monitoring</v>
      </c>
      <c r="E35" s="8">
        <f t="shared" si="2"/>
        <v>0</v>
      </c>
    </row>
    <row r="36" spans="1:5" ht="20" customHeight="1" x14ac:dyDescent="0.2">
      <c r="A36" s="15" t="s">
        <v>60</v>
      </c>
      <c r="B36" s="10" t="s">
        <v>61</v>
      </c>
      <c r="C36" s="11">
        <f>SUM(C30:C35)</f>
        <v>0</v>
      </c>
      <c r="D36" s="12" t="str">
        <f>C36&amp;" / 18 raw  (⚑ RED FLAG if &gt; 13)"</f>
        <v>0 / 18 raw  (⚑ RED FLAG if &gt; 13)</v>
      </c>
      <c r="E36" s="13">
        <f>SUM(E30:E35)</f>
        <v>0</v>
      </c>
    </row>
    <row r="38" spans="1:5" ht="22" customHeight="1" x14ac:dyDescent="0.2">
      <c r="A38" s="97" t="s">
        <v>62</v>
      </c>
      <c r="B38" s="85"/>
      <c r="C38" s="85"/>
      <c r="D38" s="85"/>
      <c r="E38" s="85"/>
    </row>
    <row r="39" spans="1:5" ht="30" customHeight="1" x14ac:dyDescent="0.2">
      <c r="A39" s="4" t="s">
        <v>63</v>
      </c>
      <c r="B39" s="5" t="s">
        <v>64</v>
      </c>
      <c r="C39" s="6"/>
      <c r="D39" s="7" t="str">
        <f>IFERROR(INDEX(Lookup!$B$2:$E$35,MATCH(A39,Lookup!$A$2:$A$35,0),C39+1),"")</f>
        <v>&lt;0.25 FTE</v>
      </c>
      <c r="E39" s="8">
        <f t="shared" ref="E39:E45" si="3">IF(ISNUMBER(C39),C39*1.3,0)</f>
        <v>0</v>
      </c>
    </row>
    <row r="40" spans="1:5" ht="30" customHeight="1" x14ac:dyDescent="0.2">
      <c r="A40" s="4" t="s">
        <v>65</v>
      </c>
      <c r="B40" s="5" t="s">
        <v>66</v>
      </c>
      <c r="C40" s="6"/>
      <c r="D40" s="7" t="str">
        <f>IFERROR(INDEX(Lookup!$B$2:$E$35,MATCH(A40,Lookup!$A$2:$A$35,0),C40+1),"")</f>
        <v>Standard site capabilities sufficient</v>
      </c>
      <c r="E40" s="8">
        <f t="shared" si="3"/>
        <v>0</v>
      </c>
    </row>
    <row r="41" spans="1:5" ht="30" customHeight="1" x14ac:dyDescent="0.2">
      <c r="A41" s="4" t="s">
        <v>67</v>
      </c>
      <c r="B41" s="5" t="s">
        <v>68</v>
      </c>
      <c r="C41" s="6"/>
      <c r="D41" s="7" t="str">
        <f>IFERROR(INDEX(Lookup!$B$2:$E$35,MATCH(A41,Lookup!$A$2:$A$35,0),C41+1),"")</f>
        <v>Standard exam room</v>
      </c>
      <c r="E41" s="8">
        <f t="shared" si="3"/>
        <v>0</v>
      </c>
    </row>
    <row r="42" spans="1:5" ht="30" customHeight="1" x14ac:dyDescent="0.2">
      <c r="A42" s="4" t="s">
        <v>69</v>
      </c>
      <c r="B42" s="5" t="s">
        <v>70</v>
      </c>
      <c r="C42" s="6"/>
      <c r="D42" s="7" t="str">
        <f>IFERROR(INDEX(Lookup!$B$2:$E$35,MATCH(A42,Lookup!$A$2:$A$35,0),C42+1),"")</f>
        <v>None or minimal pharmacy involvement</v>
      </c>
      <c r="E42" s="8">
        <f t="shared" si="3"/>
        <v>0</v>
      </c>
    </row>
    <row r="43" spans="1:5" ht="30" customHeight="1" x14ac:dyDescent="0.2">
      <c r="A43" s="4" t="s">
        <v>71</v>
      </c>
      <c r="B43" s="5" t="s">
        <v>72</v>
      </c>
      <c r="C43" s="6"/>
      <c r="D43" s="7" t="str">
        <f>IFERROR(INDEX(Lookup!$B$2:$E$35,MATCH(A43,Lookup!$A$2:$A$35,0),C43+1),"")</f>
        <v>Routine commercial laboratory</v>
      </c>
      <c r="E43" s="8">
        <f t="shared" si="3"/>
        <v>0</v>
      </c>
    </row>
    <row r="44" spans="1:5" ht="30" customHeight="1" x14ac:dyDescent="0.2">
      <c r="A44" s="4" t="s">
        <v>73</v>
      </c>
      <c r="B44" s="5" t="s">
        <v>74</v>
      </c>
      <c r="C44" s="6"/>
      <c r="D44" s="7" t="str">
        <f>IFERROR(INDEX(Lookup!$B$2:$E$35,MATCH(A44,Lookup!$A$2:$A$35,0),C44+1),"")</f>
        <v>Budget clearly exceeds projected costs</v>
      </c>
      <c r="E44" s="8">
        <f t="shared" si="3"/>
        <v>0</v>
      </c>
    </row>
    <row r="45" spans="1:5" ht="30" customHeight="1" x14ac:dyDescent="0.2">
      <c r="A45" s="4" t="s">
        <v>75</v>
      </c>
      <c r="B45" s="5" t="s">
        <v>76</v>
      </c>
      <c r="C45" s="6"/>
      <c r="D45" s="7" t="str">
        <f>IFERROR(INDEX(Lookup!$B$2:$E$35,MATCH(A45,Lookup!$A$2:$A$35,0),C45+1),"")</f>
        <v>Significant available capacity</v>
      </c>
      <c r="E45" s="8">
        <f t="shared" si="3"/>
        <v>0</v>
      </c>
    </row>
    <row r="46" spans="1:5" ht="20" customHeight="1" x14ac:dyDescent="0.2">
      <c r="A46" s="16" t="s">
        <v>77</v>
      </c>
      <c r="B46" s="10" t="s">
        <v>78</v>
      </c>
      <c r="C46" s="11">
        <f>SUM(C39:C45)</f>
        <v>0</v>
      </c>
      <c r="D46" s="12" t="str">
        <f>C46&amp;" / 21 raw  (⚑ RED FLAG if &gt; 15)"</f>
        <v>0 / 21 raw  (⚑ RED FLAG if &gt; 15)</v>
      </c>
      <c r="E46" s="13">
        <f>SUM(E39:E45)</f>
        <v>0</v>
      </c>
    </row>
    <row r="48" spans="1:5" ht="22" customHeight="1" x14ac:dyDescent="0.2">
      <c r="A48" s="84" t="s">
        <v>79</v>
      </c>
      <c r="B48" s="85"/>
      <c r="C48" s="85"/>
      <c r="D48" s="85"/>
      <c r="E48" s="85"/>
    </row>
    <row r="49" spans="1:5" ht="30" customHeight="1" x14ac:dyDescent="0.2">
      <c r="A49" s="4" t="s">
        <v>80</v>
      </c>
      <c r="B49" s="5" t="s">
        <v>81</v>
      </c>
      <c r="C49" s="6"/>
      <c r="D49" s="7" t="str">
        <f>IFERROR(INDEX(Lookup!$B$2:$E$35,MATCH(A49,Lookup!$A$2:$A$35,0),C49+1),"")</f>
        <v>Large, readily accessible population</v>
      </c>
      <c r="E49" s="8">
        <f t="shared" ref="E49:E54" si="4">IF(ISNUMBER(C49),C49*1,0)</f>
        <v>0</v>
      </c>
    </row>
    <row r="50" spans="1:5" ht="30" customHeight="1" x14ac:dyDescent="0.2">
      <c r="A50" s="4" t="s">
        <v>82</v>
      </c>
      <c r="B50" s="5" t="s">
        <v>83</v>
      </c>
      <c r="C50" s="6"/>
      <c r="D50" s="7" t="str">
        <f>IFERROR(INDEX(Lookup!$B$2:$E$35,MATCH(A50,Lookup!$A$2:$A$35,0),C50+1),"")</f>
        <v>Relaxed timeline / low enrollment rate</v>
      </c>
      <c r="E50" s="8">
        <f t="shared" si="4"/>
        <v>0</v>
      </c>
    </row>
    <row r="51" spans="1:5" ht="30" customHeight="1" x14ac:dyDescent="0.2">
      <c r="A51" s="4" t="s">
        <v>84</v>
      </c>
      <c r="B51" s="5" t="s">
        <v>85</v>
      </c>
      <c r="C51" s="6"/>
      <c r="D51" s="7" t="str">
        <f>IFERROR(INDEX(Lookup!$B$2:$E$35,MATCH(A51,Lookup!$A$2:$A$35,0),C51+1),"")</f>
        <v>No competing studies</v>
      </c>
      <c r="E51" s="8">
        <f t="shared" si="4"/>
        <v>0</v>
      </c>
    </row>
    <row r="52" spans="1:5" ht="30" customHeight="1" x14ac:dyDescent="0.2">
      <c r="A52" s="4" t="s">
        <v>86</v>
      </c>
      <c r="B52" s="5" t="s">
        <v>87</v>
      </c>
      <c r="C52" s="6"/>
      <c r="D52" s="7" t="str">
        <f>IFERROR(INDEX(Lookup!$B$2:$E$35,MATCH(A52,Lookup!$A$2:$A$35,0),C52+1),"")</f>
        <v>Minimal burden — convenient participation</v>
      </c>
      <c r="E52" s="8">
        <f t="shared" si="4"/>
        <v>0</v>
      </c>
    </row>
    <row r="53" spans="1:5" ht="30" customHeight="1" x14ac:dyDescent="0.2">
      <c r="A53" s="4" t="s">
        <v>88</v>
      </c>
      <c r="B53" s="5" t="s">
        <v>89</v>
      </c>
      <c r="C53" s="6"/>
      <c r="D53" s="7" t="str">
        <f>IFERROR(INDEX(Lookup!$B$2:$E$35,MATCH(A53,Lookup!$A$2:$A$35,0),C53+1),"")</f>
        <v>Low dropout risk / short study duration</v>
      </c>
      <c r="E53" s="8">
        <f t="shared" si="4"/>
        <v>0</v>
      </c>
    </row>
    <row r="54" spans="1:5" ht="30" customHeight="1" x14ac:dyDescent="0.2">
      <c r="A54" s="4" t="s">
        <v>90</v>
      </c>
      <c r="B54" s="5" t="s">
        <v>91</v>
      </c>
      <c r="C54" s="6"/>
      <c r="D54" s="7" t="str">
        <f>IFERROR(INDEX(Lookup!$B$2:$E$35,MATCH(A54,Lookup!$A$2:$A$35,0),C54+1),"")</f>
        <v>Proven strategy / high confidence</v>
      </c>
      <c r="E54" s="8">
        <f t="shared" si="4"/>
        <v>0</v>
      </c>
    </row>
    <row r="55" spans="1:5" ht="20" customHeight="1" x14ac:dyDescent="0.2">
      <c r="A55" s="17" t="s">
        <v>92</v>
      </c>
      <c r="B55" s="10" t="s">
        <v>93</v>
      </c>
      <c r="C55" s="11">
        <f>SUM(C49:C54)</f>
        <v>0</v>
      </c>
      <c r="D55" s="12" t="str">
        <f>C55&amp;" / 18 raw  (⚑ RED FLAG if &gt; 13)"</f>
        <v>0 / 18 raw  (⚑ RED FLAG if &gt; 13)</v>
      </c>
      <c r="E55" s="13">
        <f>SUM(E49:E54)</f>
        <v>0</v>
      </c>
    </row>
    <row r="58" spans="1:5" ht="22" customHeight="1" x14ac:dyDescent="0.2">
      <c r="A58" s="98" t="s">
        <v>94</v>
      </c>
      <c r="B58" s="85"/>
      <c r="C58" s="85"/>
      <c r="D58" s="85"/>
      <c r="E58" s="85"/>
    </row>
    <row r="59" spans="1:5" ht="22" customHeight="1" x14ac:dyDescent="0.2">
      <c r="A59" s="18"/>
      <c r="B59" s="19" t="s">
        <v>95</v>
      </c>
      <c r="C59" s="20">
        <f>ROUND((E16+E27+E36+E46+E55)/124.5*100,0)</f>
        <v>0</v>
      </c>
      <c r="D59" s="83" t="s">
        <v>96</v>
      </c>
      <c r="E59" s="82"/>
    </row>
    <row r="60" spans="1:5" ht="22" customHeight="1" x14ac:dyDescent="0.2">
      <c r="A60" s="18"/>
      <c r="B60" s="19" t="s">
        <v>97</v>
      </c>
      <c r="C60" s="21" t="str">
        <f>IF(C59&lt;=40,"LOW",IF(C59&lt;=65,"MEDIUM","HIGH"))</f>
        <v>LOW</v>
      </c>
      <c r="D60" s="83" t="s">
        <v>98</v>
      </c>
      <c r="E60" s="82"/>
    </row>
    <row r="61" spans="1:5" ht="22" customHeight="1" x14ac:dyDescent="0.2">
      <c r="A61" s="22"/>
      <c r="B61" s="23" t="s">
        <v>99</v>
      </c>
      <c r="C61" s="24">
        <f>C55</f>
        <v>0</v>
      </c>
      <c r="D61" s="90" t="s">
        <v>100</v>
      </c>
      <c r="E61" s="82"/>
    </row>
    <row r="62" spans="1:5" ht="28" customHeight="1" x14ac:dyDescent="0.2">
      <c r="A62" s="25"/>
      <c r="B62" s="26" t="s">
        <v>101</v>
      </c>
      <c r="C62" s="27" t="str">
        <f>IF(C59="","—",IF(C59&lt;=40,IF(C61&lt;=6,"GO",IF(C61&lt;=12,"GO with Monitoring","CONDITIONAL GO")),IF(C59&lt;=65,IF(C61&lt;=6,"GO with Planning",IF(C61&lt;=12,"CONDITIONAL GO","NO-GO")),IF(C61&lt;=6,"CONDITIONAL GO","NO-GO"))))</f>
        <v>GO</v>
      </c>
      <c r="D62" s="93" t="s">
        <v>102</v>
      </c>
      <c r="E62" s="94"/>
    </row>
    <row r="63" spans="1:5" ht="22" customHeight="1" x14ac:dyDescent="0.2">
      <c r="A63" s="28"/>
      <c r="B63" s="29" t="s">
        <v>103</v>
      </c>
      <c r="C63" s="30" t="str">
        <f>IF(C62="—","",IF(C62="GO","Standard activation — proceed with normal planning",IF(C62="GO with Monitoring","Proceed with enhanced recruitment planning",IF(C62="GO with Planning","Resource allocation and risk mitigation plan required",IF(C62="NO-GO","Decline — risk profile exceeds site capacity","Adequate resources and strategy must be confirmed before proceeding")))))</f>
        <v>Standard activation — proceed with normal planning</v>
      </c>
      <c r="D63" s="86"/>
      <c r="E63" s="86"/>
    </row>
    <row r="65" spans="1:5" ht="20" customHeight="1" x14ac:dyDescent="0.2">
      <c r="A65" s="89" t="s">
        <v>104</v>
      </c>
      <c r="B65" s="85"/>
      <c r="C65" s="85"/>
      <c r="D65" s="85"/>
      <c r="E65" s="85"/>
    </row>
    <row r="66" spans="1:5" ht="18" customHeight="1" x14ac:dyDescent="0.2">
      <c r="A66" s="31" t="s">
        <v>26</v>
      </c>
      <c r="B66" s="32" t="s">
        <v>105</v>
      </c>
      <c r="C66" s="33">
        <f>C16</f>
        <v>0</v>
      </c>
      <c r="D66" s="81" t="str">
        <f>IF(C16&gt;15,"⚑  RED FLAG — raw score "&amp;C16&amp;" exceeds threshold 15","✓  OK — raw score "&amp;C16&amp;" / 21")</f>
        <v>✓  OK — raw score 0 / 21</v>
      </c>
      <c r="E66" s="82"/>
    </row>
    <row r="67" spans="1:5" ht="18" customHeight="1" x14ac:dyDescent="0.2">
      <c r="A67" s="34" t="s">
        <v>45</v>
      </c>
      <c r="B67" s="32" t="s">
        <v>106</v>
      </c>
      <c r="C67" s="33">
        <f>C27</f>
        <v>0</v>
      </c>
      <c r="D67" s="81" t="str">
        <f>IF(C27&gt;17,"⚑  RED FLAG — raw score "&amp;C27&amp;" exceeds threshold 17","✓  OK — raw score "&amp;C27&amp;" / 24")</f>
        <v>✓  OK — raw score 0 / 24</v>
      </c>
      <c r="E67" s="82"/>
    </row>
    <row r="68" spans="1:5" ht="18" customHeight="1" x14ac:dyDescent="0.2">
      <c r="A68" s="35" t="s">
        <v>60</v>
      </c>
      <c r="B68" s="32" t="s">
        <v>107</v>
      </c>
      <c r="C68" s="33">
        <f>C36</f>
        <v>0</v>
      </c>
      <c r="D68" s="81" t="str">
        <f>IF(C36&gt;13,"⚑  RED FLAG — raw score "&amp;C36&amp;" exceeds threshold 13","✓  OK — raw score "&amp;C36&amp;" / 18")</f>
        <v>✓  OK — raw score 0 / 18</v>
      </c>
      <c r="E68" s="82"/>
    </row>
    <row r="69" spans="1:5" ht="18" customHeight="1" x14ac:dyDescent="0.2">
      <c r="A69" s="36" t="s">
        <v>77</v>
      </c>
      <c r="B69" s="32" t="s">
        <v>108</v>
      </c>
      <c r="C69" s="33">
        <f>C46</f>
        <v>0</v>
      </c>
      <c r="D69" s="81" t="str">
        <f>IF(C46&gt;15,"⚑  RED FLAG — raw score "&amp;C46&amp;" exceeds threshold 15","✓  OK — raw score "&amp;C46&amp;" / 21")</f>
        <v>✓  OK — raw score 0 / 21</v>
      </c>
      <c r="E69" s="82"/>
    </row>
    <row r="70" spans="1:5" ht="18" customHeight="1" x14ac:dyDescent="0.2">
      <c r="A70" s="37" t="s">
        <v>92</v>
      </c>
      <c r="B70" s="32" t="s">
        <v>109</v>
      </c>
      <c r="C70" s="33">
        <f>C55</f>
        <v>0</v>
      </c>
      <c r="D70" s="81" t="str">
        <f>IF(C55&gt;13,"⚑  RED FLAG — raw score "&amp;C55&amp;" exceeds threshold 13","✓  OK — raw score "&amp;C55&amp;" / 18")</f>
        <v>✓  OK — raw score 0 / 18</v>
      </c>
      <c r="E70" s="82"/>
    </row>
  </sheetData>
  <mergeCells count="23">
    <mergeCell ref="D70:E70"/>
    <mergeCell ref="D66:E66"/>
    <mergeCell ref="A18:E18"/>
    <mergeCell ref="A2:E2"/>
    <mergeCell ref="D62:E62"/>
    <mergeCell ref="A8:E8"/>
    <mergeCell ref="A29:E29"/>
    <mergeCell ref="D68:E68"/>
    <mergeCell ref="A38:E38"/>
    <mergeCell ref="D67:E67"/>
    <mergeCell ref="A58:E58"/>
    <mergeCell ref="D59:E59"/>
    <mergeCell ref="A1:E1"/>
    <mergeCell ref="B5:E5"/>
    <mergeCell ref="A65:E65"/>
    <mergeCell ref="B4:E4"/>
    <mergeCell ref="D61:E61"/>
    <mergeCell ref="B3:E3"/>
    <mergeCell ref="D69:E69"/>
    <mergeCell ref="D60:E60"/>
    <mergeCell ref="A48:E48"/>
    <mergeCell ref="D63:E63"/>
    <mergeCell ref="B6:E6"/>
  </mergeCells>
  <conditionalFormatting sqref="C9:C15">
    <cfRule type="cellIs" dxfId="22" priority="35" operator="equal">
      <formula>1</formula>
    </cfRule>
    <cfRule type="cellIs" dxfId="21" priority="69" operator="equal">
      <formula>2</formula>
    </cfRule>
    <cfRule type="cellIs" dxfId="20" priority="103" operator="equal">
      <formula>3</formula>
    </cfRule>
    <cfRule type="cellIs" dxfId="19" priority="1" operator="equal">
      <formula>0</formula>
    </cfRule>
  </conditionalFormatting>
  <conditionalFormatting sqref="C19:C26">
    <cfRule type="cellIs" dxfId="18" priority="110" operator="equal">
      <formula>0</formula>
    </cfRule>
    <cfRule type="cellIs" dxfId="17" priority="110" operator="equal">
      <formula>3</formula>
    </cfRule>
    <cfRule type="cellIs" dxfId="16" priority="110" operator="equal">
      <formula>2</formula>
    </cfRule>
    <cfRule type="cellIs" dxfId="15" priority="110" operator="equal">
      <formula>1</formula>
    </cfRule>
  </conditionalFormatting>
  <conditionalFormatting sqref="C30:C35">
    <cfRule type="cellIs" dxfId="14" priority="118" operator="equal">
      <formula>3</formula>
    </cfRule>
    <cfRule type="cellIs" dxfId="13" priority="118" operator="equal">
      <formula>2</formula>
    </cfRule>
    <cfRule type="cellIs" dxfId="12" priority="118" operator="equal">
      <formula>1</formula>
    </cfRule>
    <cfRule type="cellIs" dxfId="11" priority="118" operator="equal">
      <formula>0</formula>
    </cfRule>
  </conditionalFormatting>
  <conditionalFormatting sqref="C39:C45">
    <cfRule type="cellIs" dxfId="10" priority="124" operator="equal">
      <formula>3</formula>
    </cfRule>
    <cfRule type="cellIs" dxfId="9" priority="124" operator="equal">
      <formula>2</formula>
    </cfRule>
    <cfRule type="cellIs" dxfId="8" priority="124" operator="equal">
      <formula>1</formula>
    </cfRule>
    <cfRule type="cellIs" dxfId="7" priority="124" operator="equal">
      <formula>0</formula>
    </cfRule>
  </conditionalFormatting>
  <conditionalFormatting sqref="C49:C54">
    <cfRule type="cellIs" dxfId="6" priority="131" operator="equal">
      <formula>3</formula>
    </cfRule>
    <cfRule type="cellIs" dxfId="5" priority="131" operator="equal">
      <formula>2</formula>
    </cfRule>
    <cfRule type="cellIs" dxfId="4" priority="131" operator="equal">
      <formula>1</formula>
    </cfRule>
    <cfRule type="cellIs" dxfId="3" priority="131" operator="equal">
      <formula>0</formula>
    </cfRule>
  </conditionalFormatting>
  <conditionalFormatting sqref="C62">
    <cfRule type="expression" dxfId="2" priority="139">
      <formula>C62="CONDITIONAL GO"</formula>
    </cfRule>
    <cfRule type="expression" dxfId="1" priority="138">
      <formula>C62="NO-GO"</formula>
    </cfRule>
    <cfRule type="expression" dxfId="0" priority="137">
      <formula>C62="GO"</formula>
    </cfRule>
  </conditionalFormatting>
  <dataValidations count="1">
    <dataValidation type="list" showErrorMessage="1" errorTitle="Invalid Score" error="Enter 0, 1, 2, or 3" sqref="C1:C200" xr:uid="{00000000-0002-0000-0000-000000000000}">
      <formula1>"0,1,2,3"</formula1>
    </dataValidation>
  </dataValidations>
  <pageMargins left="0.75" right="0.75" top="1" bottom="1" header="0.5" footer="0.5"/>
  <headerFooter>
    <oddFooter>&amp;L_x000D_&amp;1#&amp;"Aptos"&amp;10&amp;K000000 St. Jude - 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4"/>
  <sheetViews>
    <sheetView workbookViewId="0"/>
  </sheetViews>
  <sheetFormatPr baseColWidth="10" defaultColWidth="8.83203125" defaultRowHeight="15" x14ac:dyDescent="0.2"/>
  <cols>
    <col min="1" max="1" width="3" customWidth="1"/>
    <col min="2" max="2" width="22" customWidth="1"/>
    <col min="3" max="6" width="16" customWidth="1"/>
    <col min="7" max="7" width="14" customWidth="1"/>
  </cols>
  <sheetData>
    <row r="1" spans="1:7" ht="36" customHeight="1" x14ac:dyDescent="0.2">
      <c r="A1" s="88" t="s">
        <v>110</v>
      </c>
      <c r="B1" s="85"/>
      <c r="C1" s="85"/>
      <c r="D1" s="85"/>
      <c r="E1" s="85"/>
      <c r="F1" s="85"/>
      <c r="G1" s="85"/>
    </row>
    <row r="2" spans="1:7" ht="16" customHeight="1" x14ac:dyDescent="0.2">
      <c r="A2" s="92" t="s">
        <v>111</v>
      </c>
      <c r="B2" s="85"/>
      <c r="C2" s="85"/>
      <c r="D2" s="85"/>
      <c r="E2" s="85"/>
      <c r="F2" s="85"/>
      <c r="G2" s="85"/>
    </row>
    <row r="4" spans="1:7" ht="20" customHeight="1" x14ac:dyDescent="0.2">
      <c r="A4" s="100" t="s">
        <v>112</v>
      </c>
      <c r="B4" s="85"/>
      <c r="C4" s="85"/>
      <c r="D4" s="85"/>
      <c r="E4" s="85"/>
      <c r="F4" s="85"/>
      <c r="G4" s="85"/>
    </row>
    <row r="5" spans="1:7" ht="18" customHeight="1" x14ac:dyDescent="0.2">
      <c r="B5" s="105" t="s">
        <v>113</v>
      </c>
      <c r="C5" s="85"/>
      <c r="D5" s="105" t="s">
        <v>114</v>
      </c>
      <c r="E5" s="85"/>
      <c r="F5" s="105" t="s">
        <v>115</v>
      </c>
      <c r="G5" s="85"/>
    </row>
    <row r="6" spans="1:7" ht="40" customHeight="1" x14ac:dyDescent="0.2">
      <c r="B6" s="110">
        <f>Assessment!C59</f>
        <v>0</v>
      </c>
      <c r="C6" s="85"/>
      <c r="D6" s="103" t="str">
        <f>Assessment!C60</f>
        <v>LOW</v>
      </c>
      <c r="E6" s="85"/>
      <c r="F6" s="101" t="str">
        <f>Assessment!C62</f>
        <v>GO</v>
      </c>
      <c r="G6" s="85"/>
    </row>
    <row r="7" spans="1:7" ht="20" customHeight="1" x14ac:dyDescent="0.2">
      <c r="B7" s="109" t="str">
        <f>Assessment!C63</f>
        <v>Standard activation — proceed with normal planning</v>
      </c>
      <c r="C7" s="85"/>
      <c r="D7" s="85"/>
      <c r="E7" s="85"/>
      <c r="F7" s="85"/>
      <c r="G7" s="85"/>
    </row>
    <row r="8" spans="1:7" ht="10" customHeight="1" x14ac:dyDescent="0.2"/>
    <row r="9" spans="1:7" ht="20" customHeight="1" x14ac:dyDescent="0.2">
      <c r="A9" s="100" t="s">
        <v>116</v>
      </c>
      <c r="B9" s="85"/>
      <c r="C9" s="85"/>
      <c r="D9" s="85"/>
      <c r="E9" s="85"/>
      <c r="F9" s="85"/>
      <c r="G9" s="85"/>
    </row>
    <row r="10" spans="1:7" ht="18" customHeight="1" x14ac:dyDescent="0.2">
      <c r="B10" s="38" t="s">
        <v>117</v>
      </c>
      <c r="C10" s="38" t="s">
        <v>118</v>
      </c>
      <c r="D10" s="38" t="s">
        <v>119</v>
      </c>
      <c r="E10" s="38" t="s">
        <v>120</v>
      </c>
      <c r="F10" s="38" t="s">
        <v>121</v>
      </c>
      <c r="G10" s="38" t="s">
        <v>122</v>
      </c>
    </row>
    <row r="11" spans="1:7" ht="20" customHeight="1" x14ac:dyDescent="0.2">
      <c r="A11" s="39"/>
      <c r="B11" s="40" t="s">
        <v>123</v>
      </c>
      <c r="C11" s="41">
        <f>Assessment!C16</f>
        <v>0</v>
      </c>
      <c r="D11" s="42">
        <v>21</v>
      </c>
      <c r="E11" s="43">
        <f>IFERROR(ROUND(C11/D11*100,0),0)</f>
        <v>0</v>
      </c>
      <c r="F11" s="44">
        <f>Assessment!E16</f>
        <v>0</v>
      </c>
      <c r="G11" s="45" t="str">
        <f>IF(Assessment!C16&gt;=15,"⚑ FLAG","✓ OK")</f>
        <v>✓ OK</v>
      </c>
    </row>
    <row r="12" spans="1:7" ht="20" customHeight="1" x14ac:dyDescent="0.2">
      <c r="A12" s="46"/>
      <c r="B12" s="47" t="s">
        <v>124</v>
      </c>
      <c r="C12" s="48">
        <f>Assessment!C27</f>
        <v>0</v>
      </c>
      <c r="D12" s="49">
        <v>24</v>
      </c>
      <c r="E12" s="50">
        <f>IFERROR(ROUND(C12/D12*100,0),0)</f>
        <v>0</v>
      </c>
      <c r="F12" s="51">
        <f>Assessment!E27</f>
        <v>0</v>
      </c>
      <c r="G12" s="52" t="str">
        <f>IF(Assessment!C27&gt;=17,"⚑ FLAG","✓ OK")</f>
        <v>✓ OK</v>
      </c>
    </row>
    <row r="13" spans="1:7" ht="20" customHeight="1" x14ac:dyDescent="0.2">
      <c r="A13" s="53"/>
      <c r="B13" s="54" t="s">
        <v>125</v>
      </c>
      <c r="C13" s="55">
        <f>Assessment!C36</f>
        <v>0</v>
      </c>
      <c r="D13" s="56">
        <v>18</v>
      </c>
      <c r="E13" s="57">
        <f>IFERROR(ROUND(C13/D13*100,0),0)</f>
        <v>0</v>
      </c>
      <c r="F13" s="58">
        <f>Assessment!E36</f>
        <v>0</v>
      </c>
      <c r="G13" s="59" t="str">
        <f>IF(Assessment!C36&gt;=13,"⚑ FLAG","✓ OK")</f>
        <v>✓ OK</v>
      </c>
    </row>
    <row r="14" spans="1:7" ht="20" customHeight="1" x14ac:dyDescent="0.2">
      <c r="A14" s="60"/>
      <c r="B14" s="61" t="s">
        <v>126</v>
      </c>
      <c r="C14" s="62">
        <f>Assessment!C46</f>
        <v>0</v>
      </c>
      <c r="D14" s="63">
        <v>21</v>
      </c>
      <c r="E14" s="64">
        <f>IFERROR(ROUND(C14/D14*100,0),0)</f>
        <v>0</v>
      </c>
      <c r="F14" s="65">
        <f>Assessment!E46</f>
        <v>0</v>
      </c>
      <c r="G14" s="66" t="str">
        <f>IF(Assessment!C46&gt;=15,"⚑ FLAG","✓ OK")</f>
        <v>✓ OK</v>
      </c>
    </row>
    <row r="15" spans="1:7" ht="20" customHeight="1" x14ac:dyDescent="0.2">
      <c r="A15" s="67"/>
      <c r="B15" s="68" t="s">
        <v>127</v>
      </c>
      <c r="C15" s="69">
        <f>Assessment!C55</f>
        <v>0</v>
      </c>
      <c r="D15" s="70">
        <v>18</v>
      </c>
      <c r="E15" s="71">
        <f>IFERROR(ROUND(C15/D15*100,0),0)</f>
        <v>0</v>
      </c>
      <c r="F15" s="72">
        <f>Assessment!E55</f>
        <v>0</v>
      </c>
      <c r="G15" s="73" t="str">
        <f>IF(Assessment!C55&gt;=13,"⚑ FLAG","✓ OK")</f>
        <v>✓ OK</v>
      </c>
    </row>
    <row r="34" spans="1:7" ht="20" customHeight="1" x14ac:dyDescent="0.2">
      <c r="A34" s="106" t="s">
        <v>128</v>
      </c>
      <c r="B34" s="85"/>
      <c r="C34" s="85"/>
      <c r="D34" s="85"/>
      <c r="E34" s="85"/>
      <c r="F34" s="85"/>
      <c r="G34" s="85"/>
    </row>
    <row r="35" spans="1:7" ht="78" x14ac:dyDescent="0.2">
      <c r="A35" s="74" t="s">
        <v>113</v>
      </c>
      <c r="B35" s="74" t="s">
        <v>129</v>
      </c>
      <c r="C35" s="74" t="s">
        <v>115</v>
      </c>
      <c r="D35" s="104" t="s">
        <v>130</v>
      </c>
      <c r="E35" s="85"/>
      <c r="F35" s="85"/>
      <c r="G35" s="85"/>
    </row>
    <row r="36" spans="1:7" ht="20" customHeight="1" x14ac:dyDescent="0.2">
      <c r="A36" s="75" t="s">
        <v>131</v>
      </c>
      <c r="B36" s="75" t="s">
        <v>132</v>
      </c>
      <c r="C36" s="76" t="s">
        <v>133</v>
      </c>
      <c r="D36" s="108" t="s">
        <v>134</v>
      </c>
      <c r="E36" s="82"/>
      <c r="F36" s="82"/>
      <c r="G36" s="82"/>
    </row>
    <row r="37" spans="1:7" ht="20" customHeight="1" x14ac:dyDescent="0.2">
      <c r="A37" s="75" t="s">
        <v>131</v>
      </c>
      <c r="B37" s="75" t="s">
        <v>135</v>
      </c>
      <c r="C37" s="77" t="s">
        <v>136</v>
      </c>
      <c r="D37" s="99" t="s">
        <v>137</v>
      </c>
      <c r="E37" s="82"/>
      <c r="F37" s="82"/>
      <c r="G37" s="82"/>
    </row>
    <row r="38" spans="1:7" ht="20" customHeight="1" x14ac:dyDescent="0.2">
      <c r="A38" s="75" t="s">
        <v>131</v>
      </c>
      <c r="B38" s="75" t="s">
        <v>138</v>
      </c>
      <c r="C38" s="78" t="s">
        <v>139</v>
      </c>
      <c r="D38" s="102" t="s">
        <v>140</v>
      </c>
      <c r="E38" s="82"/>
      <c r="F38" s="82"/>
      <c r="G38" s="82"/>
    </row>
    <row r="39" spans="1:7" ht="20" customHeight="1" x14ac:dyDescent="0.2">
      <c r="A39" s="75" t="s">
        <v>141</v>
      </c>
      <c r="B39" s="75" t="s">
        <v>132</v>
      </c>
      <c r="C39" s="77" t="s">
        <v>142</v>
      </c>
      <c r="D39" s="99" t="s">
        <v>143</v>
      </c>
      <c r="E39" s="82"/>
      <c r="F39" s="82"/>
      <c r="G39" s="82"/>
    </row>
    <row r="40" spans="1:7" ht="20" customHeight="1" x14ac:dyDescent="0.2">
      <c r="A40" s="75" t="s">
        <v>141</v>
      </c>
      <c r="B40" s="75" t="s">
        <v>135</v>
      </c>
      <c r="C40" s="78" t="s">
        <v>139</v>
      </c>
      <c r="D40" s="102" t="s">
        <v>144</v>
      </c>
      <c r="E40" s="82"/>
      <c r="F40" s="82"/>
      <c r="G40" s="82"/>
    </row>
    <row r="41" spans="1:7" ht="20" customHeight="1" x14ac:dyDescent="0.2">
      <c r="A41" s="75" t="s">
        <v>141</v>
      </c>
      <c r="B41" s="75" t="s">
        <v>138</v>
      </c>
      <c r="C41" s="79" t="s">
        <v>145</v>
      </c>
      <c r="D41" s="107" t="s">
        <v>146</v>
      </c>
      <c r="E41" s="82"/>
      <c r="F41" s="82"/>
      <c r="G41" s="82"/>
    </row>
    <row r="42" spans="1:7" ht="20" customHeight="1" x14ac:dyDescent="0.2">
      <c r="A42" s="75" t="s">
        <v>147</v>
      </c>
      <c r="B42" s="75" t="s">
        <v>132</v>
      </c>
      <c r="C42" s="78" t="s">
        <v>139</v>
      </c>
      <c r="D42" s="102" t="s">
        <v>148</v>
      </c>
      <c r="E42" s="82"/>
      <c r="F42" s="82"/>
      <c r="G42" s="82"/>
    </row>
    <row r="43" spans="1:7" ht="20" customHeight="1" x14ac:dyDescent="0.2">
      <c r="A43" s="75" t="s">
        <v>147</v>
      </c>
      <c r="B43" s="75" t="s">
        <v>135</v>
      </c>
      <c r="C43" s="79" t="s">
        <v>145</v>
      </c>
      <c r="D43" s="107" t="s">
        <v>149</v>
      </c>
      <c r="E43" s="82"/>
      <c r="F43" s="82"/>
      <c r="G43" s="82"/>
    </row>
    <row r="44" spans="1:7" ht="20" customHeight="1" x14ac:dyDescent="0.2">
      <c r="A44" s="75" t="s">
        <v>147</v>
      </c>
      <c r="B44" s="75" t="s">
        <v>138</v>
      </c>
      <c r="C44" s="79" t="s">
        <v>145</v>
      </c>
      <c r="D44" s="107" t="s">
        <v>150</v>
      </c>
      <c r="E44" s="82"/>
      <c r="F44" s="82"/>
      <c r="G44" s="82"/>
    </row>
  </sheetData>
  <mergeCells count="22">
    <mergeCell ref="D44:G44"/>
    <mergeCell ref="D40:G40"/>
    <mergeCell ref="A1:G1"/>
    <mergeCell ref="D36:G36"/>
    <mergeCell ref="B7:G7"/>
    <mergeCell ref="B6:C6"/>
    <mergeCell ref="D41:G41"/>
    <mergeCell ref="B5:C5"/>
    <mergeCell ref="D5:E5"/>
    <mergeCell ref="A2:G2"/>
    <mergeCell ref="D43:G43"/>
    <mergeCell ref="D37:G37"/>
    <mergeCell ref="D39:G39"/>
    <mergeCell ref="A4:G4"/>
    <mergeCell ref="F6:G6"/>
    <mergeCell ref="D42:G42"/>
    <mergeCell ref="D38:G38"/>
    <mergeCell ref="D6:E6"/>
    <mergeCell ref="A9:G9"/>
    <mergeCell ref="D35:G35"/>
    <mergeCell ref="F5:G5"/>
    <mergeCell ref="A34:G34"/>
  </mergeCells>
  <pageMargins left="0.75" right="0.75" top="1" bottom="1" header="0.5" footer="0.5"/>
  <headerFooter>
    <oddFooter>&amp;L_x000D_&amp;1#&amp;"Aptos"&amp;10&amp;K000000 St. Jude - Confidential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5"/>
  <sheetViews>
    <sheetView workbookViewId="0"/>
  </sheetViews>
  <sheetFormatPr baseColWidth="10" defaultColWidth="8.83203125" defaultRowHeight="15" x14ac:dyDescent="0.2"/>
  <cols>
    <col min="1" max="1" width="8" customWidth="1"/>
    <col min="2" max="5" width="42" customWidth="1"/>
  </cols>
  <sheetData>
    <row r="1" spans="1:5" x14ac:dyDescent="0.2">
      <c r="A1" s="80" t="s">
        <v>151</v>
      </c>
      <c r="B1" s="80" t="s">
        <v>152</v>
      </c>
      <c r="C1" s="80" t="s">
        <v>153</v>
      </c>
      <c r="D1" s="80" t="s">
        <v>154</v>
      </c>
      <c r="E1" s="80" t="s">
        <v>155</v>
      </c>
    </row>
    <row r="2" spans="1:5" x14ac:dyDescent="0.2">
      <c r="A2" t="s">
        <v>12</v>
      </c>
      <c r="B2" t="s">
        <v>156</v>
      </c>
      <c r="C2" t="s">
        <v>157</v>
      </c>
      <c r="D2" t="s">
        <v>158</v>
      </c>
      <c r="E2" t="s">
        <v>159</v>
      </c>
    </row>
    <row r="3" spans="1:5" x14ac:dyDescent="0.2">
      <c r="A3" t="s">
        <v>14</v>
      </c>
      <c r="B3" t="s">
        <v>160</v>
      </c>
      <c r="C3" t="s">
        <v>161</v>
      </c>
      <c r="D3" t="s">
        <v>162</v>
      </c>
      <c r="E3" t="s">
        <v>163</v>
      </c>
    </row>
    <row r="4" spans="1:5" x14ac:dyDescent="0.2">
      <c r="A4" t="s">
        <v>16</v>
      </c>
      <c r="B4" t="s">
        <v>164</v>
      </c>
      <c r="C4" t="s">
        <v>165</v>
      </c>
      <c r="D4" t="s">
        <v>166</v>
      </c>
      <c r="E4" t="s">
        <v>167</v>
      </c>
    </row>
    <row r="5" spans="1:5" x14ac:dyDescent="0.2">
      <c r="A5" t="s">
        <v>18</v>
      </c>
      <c r="B5" t="s">
        <v>168</v>
      </c>
      <c r="C5" t="s">
        <v>169</v>
      </c>
      <c r="D5" t="s">
        <v>170</v>
      </c>
      <c r="E5" t="s">
        <v>171</v>
      </c>
    </row>
    <row r="6" spans="1:5" x14ac:dyDescent="0.2">
      <c r="A6" t="s">
        <v>20</v>
      </c>
      <c r="B6" t="s">
        <v>172</v>
      </c>
      <c r="C6" t="s">
        <v>173</v>
      </c>
      <c r="D6" t="s">
        <v>174</v>
      </c>
      <c r="E6" t="s">
        <v>175</v>
      </c>
    </row>
    <row r="7" spans="1:5" x14ac:dyDescent="0.2">
      <c r="A7" t="s">
        <v>22</v>
      </c>
      <c r="B7" t="s">
        <v>176</v>
      </c>
      <c r="C7" t="s">
        <v>177</v>
      </c>
      <c r="D7" t="s">
        <v>178</v>
      </c>
      <c r="E7" t="s">
        <v>179</v>
      </c>
    </row>
    <row r="8" spans="1:5" x14ac:dyDescent="0.2">
      <c r="A8" t="s">
        <v>24</v>
      </c>
      <c r="B8" t="s">
        <v>180</v>
      </c>
      <c r="C8" t="s">
        <v>181</v>
      </c>
      <c r="D8" t="s">
        <v>182</v>
      </c>
      <c r="E8" t="s">
        <v>183</v>
      </c>
    </row>
    <row r="9" spans="1:5" x14ac:dyDescent="0.2">
      <c r="A9" t="s">
        <v>29</v>
      </c>
      <c r="B9" t="s">
        <v>184</v>
      </c>
      <c r="C9" t="s">
        <v>185</v>
      </c>
      <c r="D9" t="s">
        <v>186</v>
      </c>
      <c r="E9" t="s">
        <v>187</v>
      </c>
    </row>
    <row r="10" spans="1:5" x14ac:dyDescent="0.2">
      <c r="A10" t="s">
        <v>31</v>
      </c>
      <c r="B10" t="s">
        <v>188</v>
      </c>
      <c r="C10" t="s">
        <v>189</v>
      </c>
      <c r="D10" t="s">
        <v>190</v>
      </c>
      <c r="E10" t="s">
        <v>191</v>
      </c>
    </row>
    <row r="11" spans="1:5" x14ac:dyDescent="0.2">
      <c r="A11" t="s">
        <v>33</v>
      </c>
      <c r="B11" t="s">
        <v>192</v>
      </c>
      <c r="C11" t="s">
        <v>193</v>
      </c>
      <c r="D11" t="s">
        <v>194</v>
      </c>
      <c r="E11" t="s">
        <v>195</v>
      </c>
    </row>
    <row r="12" spans="1:5" x14ac:dyDescent="0.2">
      <c r="A12" t="s">
        <v>35</v>
      </c>
      <c r="B12" t="s">
        <v>196</v>
      </c>
      <c r="C12" t="s">
        <v>197</v>
      </c>
      <c r="D12" t="s">
        <v>198</v>
      </c>
      <c r="E12" t="s">
        <v>199</v>
      </c>
    </row>
    <row r="13" spans="1:5" x14ac:dyDescent="0.2">
      <c r="A13" t="s">
        <v>37</v>
      </c>
      <c r="B13" t="s">
        <v>200</v>
      </c>
      <c r="C13" t="s">
        <v>201</v>
      </c>
      <c r="D13" t="s">
        <v>202</v>
      </c>
      <c r="E13" t="s">
        <v>203</v>
      </c>
    </row>
    <row r="14" spans="1:5" x14ac:dyDescent="0.2">
      <c r="A14" t="s">
        <v>39</v>
      </c>
      <c r="B14" t="s">
        <v>204</v>
      </c>
      <c r="C14" t="s">
        <v>205</v>
      </c>
      <c r="D14" t="s">
        <v>206</v>
      </c>
      <c r="E14" t="s">
        <v>207</v>
      </c>
    </row>
    <row r="15" spans="1:5" x14ac:dyDescent="0.2">
      <c r="A15" t="s">
        <v>41</v>
      </c>
      <c r="B15" t="s">
        <v>172</v>
      </c>
      <c r="C15" t="s">
        <v>208</v>
      </c>
      <c r="D15" t="s">
        <v>209</v>
      </c>
      <c r="E15" t="s">
        <v>210</v>
      </c>
    </row>
    <row r="16" spans="1:5" x14ac:dyDescent="0.2">
      <c r="A16" t="s">
        <v>43</v>
      </c>
      <c r="B16" t="s">
        <v>211</v>
      </c>
      <c r="C16" t="s">
        <v>212</v>
      </c>
      <c r="D16" t="s">
        <v>213</v>
      </c>
      <c r="E16" t="s">
        <v>214</v>
      </c>
    </row>
    <row r="17" spans="1:5" x14ac:dyDescent="0.2">
      <c r="A17" t="s">
        <v>48</v>
      </c>
      <c r="B17" t="s">
        <v>215</v>
      </c>
      <c r="C17" t="s">
        <v>216</v>
      </c>
      <c r="D17" t="s">
        <v>217</v>
      </c>
      <c r="E17" t="s">
        <v>218</v>
      </c>
    </row>
    <row r="18" spans="1:5" x14ac:dyDescent="0.2">
      <c r="A18" t="s">
        <v>50</v>
      </c>
      <c r="B18" t="s">
        <v>172</v>
      </c>
      <c r="C18" t="s">
        <v>219</v>
      </c>
      <c r="D18" t="s">
        <v>220</v>
      </c>
      <c r="E18" t="s">
        <v>221</v>
      </c>
    </row>
    <row r="19" spans="1:5" x14ac:dyDescent="0.2">
      <c r="A19" t="s">
        <v>52</v>
      </c>
      <c r="B19" t="s">
        <v>222</v>
      </c>
      <c r="C19" t="s">
        <v>223</v>
      </c>
      <c r="D19" t="s">
        <v>224</v>
      </c>
      <c r="E19" t="s">
        <v>225</v>
      </c>
    </row>
    <row r="20" spans="1:5" x14ac:dyDescent="0.2">
      <c r="A20" t="s">
        <v>54</v>
      </c>
      <c r="B20" t="s">
        <v>226</v>
      </c>
      <c r="C20" t="s">
        <v>227</v>
      </c>
      <c r="D20" t="s">
        <v>228</v>
      </c>
      <c r="E20" t="s">
        <v>229</v>
      </c>
    </row>
    <row r="21" spans="1:5" x14ac:dyDescent="0.2">
      <c r="A21" t="s">
        <v>56</v>
      </c>
      <c r="B21" t="s">
        <v>172</v>
      </c>
      <c r="C21" t="s">
        <v>230</v>
      </c>
      <c r="D21" t="s">
        <v>231</v>
      </c>
      <c r="E21" t="s">
        <v>232</v>
      </c>
    </row>
    <row r="22" spans="1:5" x14ac:dyDescent="0.2">
      <c r="A22" t="s">
        <v>58</v>
      </c>
      <c r="B22" t="s">
        <v>233</v>
      </c>
      <c r="C22" t="s">
        <v>234</v>
      </c>
      <c r="D22" t="s">
        <v>235</v>
      </c>
      <c r="E22" t="s">
        <v>236</v>
      </c>
    </row>
    <row r="23" spans="1:5" x14ac:dyDescent="0.2">
      <c r="A23" t="s">
        <v>63</v>
      </c>
      <c r="B23" t="s">
        <v>237</v>
      </c>
      <c r="C23" t="s">
        <v>238</v>
      </c>
      <c r="D23" t="s">
        <v>239</v>
      </c>
      <c r="E23" t="s">
        <v>240</v>
      </c>
    </row>
    <row r="24" spans="1:5" x14ac:dyDescent="0.2">
      <c r="A24" t="s">
        <v>65</v>
      </c>
      <c r="B24" t="s">
        <v>241</v>
      </c>
      <c r="C24" t="s">
        <v>242</v>
      </c>
      <c r="D24" t="s">
        <v>243</v>
      </c>
      <c r="E24" t="s">
        <v>244</v>
      </c>
    </row>
    <row r="25" spans="1:5" x14ac:dyDescent="0.2">
      <c r="A25" t="s">
        <v>67</v>
      </c>
      <c r="B25" t="s">
        <v>245</v>
      </c>
      <c r="C25" t="s">
        <v>246</v>
      </c>
      <c r="D25" t="s">
        <v>247</v>
      </c>
      <c r="E25" t="s">
        <v>248</v>
      </c>
    </row>
    <row r="26" spans="1:5" x14ac:dyDescent="0.2">
      <c r="A26" t="s">
        <v>69</v>
      </c>
      <c r="B26" t="s">
        <v>249</v>
      </c>
      <c r="C26" t="s">
        <v>250</v>
      </c>
      <c r="D26" t="s">
        <v>251</v>
      </c>
      <c r="E26" t="s">
        <v>252</v>
      </c>
    </row>
    <row r="27" spans="1:5" x14ac:dyDescent="0.2">
      <c r="A27" t="s">
        <v>71</v>
      </c>
      <c r="B27" t="s">
        <v>253</v>
      </c>
      <c r="C27" t="s">
        <v>254</v>
      </c>
      <c r="D27" t="s">
        <v>255</v>
      </c>
      <c r="E27" t="s">
        <v>256</v>
      </c>
    </row>
    <row r="28" spans="1:5" x14ac:dyDescent="0.2">
      <c r="A28" t="s">
        <v>73</v>
      </c>
      <c r="B28" t="s">
        <v>257</v>
      </c>
      <c r="C28" t="s">
        <v>258</v>
      </c>
      <c r="D28" t="s">
        <v>259</v>
      </c>
      <c r="E28" t="s">
        <v>260</v>
      </c>
    </row>
    <row r="29" spans="1:5" x14ac:dyDescent="0.2">
      <c r="A29" t="s">
        <v>75</v>
      </c>
      <c r="B29" t="s">
        <v>261</v>
      </c>
      <c r="C29" t="s">
        <v>262</v>
      </c>
      <c r="D29" t="s">
        <v>263</v>
      </c>
      <c r="E29" t="s">
        <v>264</v>
      </c>
    </row>
    <row r="30" spans="1:5" x14ac:dyDescent="0.2">
      <c r="A30" t="s">
        <v>80</v>
      </c>
      <c r="B30" t="s">
        <v>265</v>
      </c>
      <c r="C30" t="s">
        <v>266</v>
      </c>
      <c r="D30" t="s">
        <v>267</v>
      </c>
      <c r="E30" t="s">
        <v>268</v>
      </c>
    </row>
    <row r="31" spans="1:5" x14ac:dyDescent="0.2">
      <c r="A31" t="s">
        <v>82</v>
      </c>
      <c r="B31" t="s">
        <v>269</v>
      </c>
      <c r="C31" t="s">
        <v>270</v>
      </c>
      <c r="D31" t="s">
        <v>271</v>
      </c>
      <c r="E31" t="s">
        <v>272</v>
      </c>
    </row>
    <row r="32" spans="1:5" x14ac:dyDescent="0.2">
      <c r="A32" t="s">
        <v>84</v>
      </c>
      <c r="B32" t="s">
        <v>273</v>
      </c>
      <c r="C32" t="s">
        <v>274</v>
      </c>
      <c r="D32" t="s">
        <v>275</v>
      </c>
      <c r="E32" t="s">
        <v>276</v>
      </c>
    </row>
    <row r="33" spans="1:5" x14ac:dyDescent="0.2">
      <c r="A33" t="s">
        <v>86</v>
      </c>
      <c r="B33" t="s">
        <v>277</v>
      </c>
      <c r="C33" t="s">
        <v>278</v>
      </c>
      <c r="D33" t="s">
        <v>279</v>
      </c>
      <c r="E33" t="s">
        <v>280</v>
      </c>
    </row>
    <row r="34" spans="1:5" x14ac:dyDescent="0.2">
      <c r="A34" t="s">
        <v>88</v>
      </c>
      <c r="B34" t="s">
        <v>281</v>
      </c>
      <c r="C34" t="s">
        <v>282</v>
      </c>
      <c r="D34" t="s">
        <v>283</v>
      </c>
      <c r="E34" t="s">
        <v>284</v>
      </c>
    </row>
    <row r="35" spans="1:5" x14ac:dyDescent="0.2">
      <c r="A35" t="s">
        <v>90</v>
      </c>
      <c r="B35" t="s">
        <v>285</v>
      </c>
      <c r="C35" t="s">
        <v>286</v>
      </c>
      <c r="D35" t="s">
        <v>287</v>
      </c>
      <c r="E35" t="s">
        <v>288</v>
      </c>
    </row>
  </sheetData>
  <pageMargins left="0.75" right="0.75" top="1" bottom="1" header="0.5" footer="0.5"/>
  <headerFooter>
    <oddFooter>&amp;L_x000D_&amp;1#&amp;"Aptos"&amp;10&amp;K000000 St. Jude - Confidential</oddFooter>
  </headerFooter>
</worksheet>
</file>

<file path=docMetadata/LabelInfo.xml><?xml version="1.0" encoding="utf-8"?>
<clbl:labelList xmlns:clbl="http://schemas.microsoft.com/office/2020/mipLabelMetadata">
  <clbl:label id="{65ce1208-e929-4ec4-be64-9138d78922c0}" enabled="1" method="Standard" siteId="{22340fa8-9226-4871-b677-d3b3e377af72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Assessment</vt:lpstr>
      <vt:lpstr>Dashboard</vt:lpstr>
      <vt:lpstr>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Hodges, Jason</cp:lastModifiedBy>
  <dcterms:created xsi:type="dcterms:W3CDTF">2026-07-29T18:21:03Z</dcterms:created>
  <dcterms:modified xsi:type="dcterms:W3CDTF">2026-09-01T15:27:31Z</dcterms:modified>
</cp:coreProperties>
</file>